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nes/Downloads/"/>
    </mc:Choice>
  </mc:AlternateContent>
  <xr:revisionPtr revIDLastSave="0" documentId="13_ncr:1_{E6271228-3A76-B64B-A3C4-3D043936C78E}" xr6:coauthVersionLast="47" xr6:coauthVersionMax="47" xr10:uidLastSave="{00000000-0000-0000-0000-000000000000}"/>
  <bookViews>
    <workbookView xWindow="1220" yWindow="680" windowWidth="32980" windowHeight="21460" activeTab="1" xr2:uid="{7D60D0FD-9CB0-854E-B67C-E6AF3941E94C}"/>
  </bookViews>
  <sheets>
    <sheet name="Set up Report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" i="1"/>
  <c r="A16" i="2"/>
</calcChain>
</file>

<file path=xl/sharedStrings.xml><?xml version="1.0" encoding="utf-8"?>
<sst xmlns="http://schemas.openxmlformats.org/spreadsheetml/2006/main" count="305" uniqueCount="209">
  <si>
    <t xml:space="preserve">Copy Paste from DOOYA		</t>
  </si>
  <si>
    <t>Copy Paste from DOOYA</t>
  </si>
  <si>
    <t>copy-paste from Welcome Zone Report</t>
  </si>
  <si>
    <t>ID</t>
  </si>
  <si>
    <t>First Name</t>
  </si>
  <si>
    <t>Last Name</t>
  </si>
  <si>
    <t>Full Name</t>
  </si>
  <si>
    <t>R</t>
  </si>
  <si>
    <t>W</t>
  </si>
  <si>
    <t>M</t>
  </si>
  <si>
    <t>Attendance</t>
  </si>
  <si>
    <t>Att Code</t>
  </si>
  <si>
    <t>Punctuality (Lates) #</t>
  </si>
  <si>
    <t>Punc Code</t>
  </si>
  <si>
    <t>Reader Teacher comments</t>
  </si>
  <si>
    <t>Writer Teacher comments</t>
  </si>
  <si>
    <t>Mathematician Teacher comments</t>
  </si>
  <si>
    <t>21st C learner Teacher comments</t>
  </si>
  <si>
    <t>Rights and Responsibilities Teacher comments</t>
  </si>
  <si>
    <t>Pupil Voice</t>
  </si>
  <si>
    <t>ch01</t>
  </si>
  <si>
    <t>Seyi</t>
  </si>
  <si>
    <t>Adeniji</t>
  </si>
  <si>
    <t>D</t>
  </si>
  <si>
    <t>O</t>
  </si>
  <si>
    <t>ch02</t>
  </si>
  <si>
    <t>Amal</t>
  </si>
  <si>
    <t>Al Arab</t>
  </si>
  <si>
    <t>ch03</t>
  </si>
  <si>
    <t>Aseenat</t>
  </si>
  <si>
    <t>Al Hlayel</t>
  </si>
  <si>
    <t>A Y4</t>
  </si>
  <si>
    <t>Y</t>
  </si>
  <si>
    <t>ch04</t>
  </si>
  <si>
    <t>Zayn</t>
  </si>
  <si>
    <t>Alshehri</t>
  </si>
  <si>
    <t>ch05</t>
  </si>
  <si>
    <t>Marcus</t>
  </si>
  <si>
    <t>Andrusyszyn</t>
  </si>
  <si>
    <t>ch06</t>
  </si>
  <si>
    <t>Jenson</t>
  </si>
  <si>
    <t>Anniss</t>
  </si>
  <si>
    <t>ch07</t>
  </si>
  <si>
    <t xml:space="preserve">Varun </t>
  </si>
  <si>
    <t>Arsada</t>
  </si>
  <si>
    <t>ch08</t>
  </si>
  <si>
    <t>Eleftherios</t>
  </si>
  <si>
    <t>Chatzinathanail</t>
  </si>
  <si>
    <t>ch09</t>
  </si>
  <si>
    <t xml:space="preserve">Xavier </t>
  </si>
  <si>
    <t>Cheng</t>
  </si>
  <si>
    <t>ch10</t>
  </si>
  <si>
    <t>Isla</t>
  </si>
  <si>
    <t>Clark</t>
  </si>
  <si>
    <t>ch11</t>
  </si>
  <si>
    <t>Ronnie</t>
  </si>
  <si>
    <t>Coles</t>
  </si>
  <si>
    <t>ch12</t>
  </si>
  <si>
    <t>Evie</t>
  </si>
  <si>
    <t>Druce</t>
  </si>
  <si>
    <t>ch13</t>
  </si>
  <si>
    <t>Laura</t>
  </si>
  <si>
    <t>Edwin</t>
  </si>
  <si>
    <t>ch14</t>
  </si>
  <si>
    <t>Batoul</t>
  </si>
  <si>
    <t>Fakih</t>
  </si>
  <si>
    <t>A Y3</t>
  </si>
  <si>
    <t>ch15</t>
  </si>
  <si>
    <t>Clara</t>
  </si>
  <si>
    <t>Gardner</t>
  </si>
  <si>
    <t>ch16</t>
  </si>
  <si>
    <t>Amaya Beau</t>
  </si>
  <si>
    <t>Gillett</t>
  </si>
  <si>
    <t>ch17</t>
  </si>
  <si>
    <t>Samir</t>
  </si>
  <si>
    <t>Hampson</t>
  </si>
  <si>
    <t>ch18</t>
  </si>
  <si>
    <t>Shaimaa</t>
  </si>
  <si>
    <t>Hussaini</t>
  </si>
  <si>
    <t>ch19</t>
  </si>
  <si>
    <t>Luisa</t>
  </si>
  <si>
    <t>Laufer</t>
  </si>
  <si>
    <t>A Y2</t>
  </si>
  <si>
    <t>ch20</t>
  </si>
  <si>
    <t>Mimi</t>
  </si>
  <si>
    <t>Lenney</t>
  </si>
  <si>
    <t>ch21</t>
  </si>
  <si>
    <t>Kian</t>
  </si>
  <si>
    <t>Mistry</t>
  </si>
  <si>
    <t>ch22</t>
  </si>
  <si>
    <t>Luca</t>
  </si>
  <si>
    <t>Mitchell</t>
  </si>
  <si>
    <t>ch23</t>
  </si>
  <si>
    <t>Dimitris</t>
  </si>
  <si>
    <t>Papadopoulos</t>
  </si>
  <si>
    <t>ch24</t>
  </si>
  <si>
    <t>Charlie</t>
  </si>
  <si>
    <t>Sandford</t>
  </si>
  <si>
    <t>ch25</t>
  </si>
  <si>
    <t>Heidi</t>
  </si>
  <si>
    <t>Scriven</t>
  </si>
  <si>
    <t>ch26</t>
  </si>
  <si>
    <t>Tommy</t>
  </si>
  <si>
    <t>Tapp</t>
  </si>
  <si>
    <t>ch27</t>
  </si>
  <si>
    <t>Kartell</t>
  </si>
  <si>
    <t>Williams</t>
  </si>
  <si>
    <t>ch28</t>
  </si>
  <si>
    <t>Rhema</t>
  </si>
  <si>
    <t>Yeung</t>
  </si>
  <si>
    <t>ch29</t>
  </si>
  <si>
    <t>Olivia</t>
  </si>
  <si>
    <t>Yuan</t>
  </si>
  <si>
    <t>ch30</t>
  </si>
  <si>
    <t>Aziz</t>
  </si>
  <si>
    <t>Zakirov</t>
  </si>
  <si>
    <t>ch31</t>
  </si>
  <si>
    <t>FN31</t>
  </si>
  <si>
    <t>LN31</t>
  </si>
  <si>
    <t>Seyi Adeniji</t>
  </si>
  <si>
    <t>Amal Al Arab</t>
  </si>
  <si>
    <t>Aseenat Al Hlayel</t>
  </si>
  <si>
    <t>Zayn Alshehri</t>
  </si>
  <si>
    <t>Marcus Andrusyszyn</t>
  </si>
  <si>
    <t>Jenson Anniss</t>
  </si>
  <si>
    <t>Varun  Arsada</t>
  </si>
  <si>
    <t>Eleftherios Chatzinathanail</t>
  </si>
  <si>
    <t>Xavier  Cheng</t>
  </si>
  <si>
    <t>Isla Clark</t>
  </si>
  <si>
    <t>Ronnie Coles</t>
  </si>
  <si>
    <t>Evie Druce</t>
  </si>
  <si>
    <t>Laura Edwin</t>
  </si>
  <si>
    <t>Batoul Fakih</t>
  </si>
  <si>
    <t>Clara Gardner</t>
  </si>
  <si>
    <t>Amaya Beau Gillett</t>
  </si>
  <si>
    <t>Samir Hampson</t>
  </si>
  <si>
    <t>Shaimaa Hussaini</t>
  </si>
  <si>
    <t>Luisa Laufer</t>
  </si>
  <si>
    <t>Mimi Lenney</t>
  </si>
  <si>
    <t>Kian Mistry</t>
  </si>
  <si>
    <t>Luca Mitchell</t>
  </si>
  <si>
    <t>Dimitris Papadopoulos</t>
  </si>
  <si>
    <t>Charlie Sandford</t>
  </si>
  <si>
    <t>Heidi Scriven</t>
  </si>
  <si>
    <t>Tommy Tapp</t>
  </si>
  <si>
    <t>Kartell Williams</t>
  </si>
  <si>
    <t>Rhema Yeung</t>
  </si>
  <si>
    <t>Olivia Yuan</t>
  </si>
  <si>
    <t>Aziz Zakirov</t>
  </si>
  <si>
    <t>FN31 LN31</t>
  </si>
  <si>
    <t xml:space="preserve">You should only change the parts highlighted in Yellow.  </t>
  </si>
  <si>
    <t>Oak Learning Zone</t>
  </si>
  <si>
    <t>Hazel Learning Zone</t>
  </si>
  <si>
    <t>this will change some colour elements in the report</t>
  </si>
  <si>
    <t>Beech Learning Zone</t>
  </si>
  <si>
    <t>July 2025</t>
  </si>
  <si>
    <t>Willow Learning Zone</t>
  </si>
  <si>
    <t>Mr McLean</t>
  </si>
  <si>
    <t>teacher's name</t>
  </si>
  <si>
    <t>Acer Learning Zone</t>
  </si>
  <si>
    <t>Maple Learning Zone</t>
  </si>
  <si>
    <t>Annual Report to Families</t>
  </si>
  <si>
    <t>Dear Families,</t>
  </si>
  <si>
    <t>Elm Learning Zone</t>
  </si>
  <si>
    <t xml:space="preserve">It’s a pleasure to share this annual report celebrating </t>
  </si>
  <si>
    <t xml:space="preserve"> journey at WFA for 2024–25.  This year has been rich in learning and connection—from celebrating Diwali and Eid to deepening inclusive practice through Black History Month and anti-prejudice work. We’ve also strengthened wellbeing support with a dedicated Mental Health Practitioner, and learners have thrived through science, oracy, and leadership experiences. The report highlights </t>
  </si>
  <si>
    <t xml:space="preserve"> achievements and next steps—I hope it offers a meaningful opportunity to celebrate their progress.</t>
  </si>
  <si>
    <t>Warm regards,</t>
  </si>
  <si>
    <t>Charlotte Black (Principal)</t>
  </si>
  <si>
    <t>Learner's attainment is based on the expectations for their year group and is assessed in the following ways:</t>
  </si>
  <si>
    <r>
      <t>GD</t>
    </r>
    <r>
      <rPr>
        <sz val="8"/>
        <color rgb="FF000000"/>
        <rFont val="Calibri"/>
        <family val="2"/>
      </rPr>
      <t xml:space="preserve"> - Greater Depth</t>
    </r>
  </si>
  <si>
    <t xml:space="preserve">Learners who have achieved the age-related standard for their year group and in some aspects have been learning at greater depth. </t>
  </si>
  <si>
    <r>
      <t>O</t>
    </r>
    <r>
      <rPr>
        <sz val="8"/>
        <color rgb="FF000000"/>
        <rFont val="Calibri"/>
        <family val="2"/>
      </rPr>
      <t xml:space="preserve"> - On Track</t>
    </r>
  </si>
  <si>
    <t>Learners who have achieved the age-related standard.</t>
  </si>
  <si>
    <r>
      <t>Y</t>
    </r>
    <r>
      <rPr>
        <sz val="8"/>
        <color rgb="FF000000"/>
        <rFont val="Calibri"/>
        <family val="2"/>
      </rPr>
      <t xml:space="preserve"> - Yet to be on track</t>
    </r>
  </si>
  <si>
    <t>Learners who have not yet achieved the age-related standard and are having additional support and provision to develop their skills.</t>
  </si>
  <si>
    <r>
      <t>A</t>
    </r>
    <r>
      <rPr>
        <sz val="8"/>
        <color rgb="FF000000"/>
        <rFont val="Calibri"/>
        <family val="2"/>
      </rPr>
      <t xml:space="preserve"> - At an earlier stage</t>
    </r>
  </si>
  <si>
    <t>Learners who are below the age-related standard for their year group and still have gaps within the curriculum from a previous year group. For example, A-2 means the learner is working within the Year 2 curriculum.</t>
  </si>
  <si>
    <t>(A - Year Group)</t>
  </si>
  <si>
    <t xml:space="preserve"> as an Author and a Mathematician </t>
  </si>
  <si>
    <t>Being a reader</t>
  </si>
  <si>
    <t>Being a writer</t>
  </si>
  <si>
    <t>Being a mathematician</t>
  </si>
  <si>
    <t xml:space="preserve">My time in </t>
  </si>
  <si>
    <t xml:space="preserve"> as a learner:</t>
  </si>
  <si>
    <t>​</t>
  </si>
  <si>
    <r>
      <t>Attendance</t>
    </r>
    <r>
      <rPr>
        <sz val="11"/>
        <color rgb="FF000000"/>
        <rFont val="Calibri"/>
        <family val="2"/>
      </rPr>
      <t>​</t>
    </r>
  </si>
  <si>
    <r>
      <t>Punctuality</t>
    </r>
    <r>
      <rPr>
        <sz val="11"/>
        <color rgb="FF000000"/>
        <rFont val="Calibri"/>
        <family val="2"/>
      </rPr>
      <t>​</t>
    </r>
  </si>
  <si>
    <t>Exceptional​</t>
  </si>
  <si>
    <t>Attendance is 99% or higher​</t>
  </si>
  <si>
    <t>Always in school on time​</t>
  </si>
  <si>
    <t>Expected​</t>
  </si>
  <si>
    <t>Attendance is 96% or higher​</t>
  </si>
  <si>
    <t>Very rarely late to school​</t>
  </si>
  <si>
    <t>Below Expected​</t>
  </si>
  <si>
    <t>Attendance falls below 96%​</t>
  </si>
  <si>
    <t>Frequently late to school​</t>
  </si>
  <si>
    <t>Cause for Concern​</t>
  </si>
  <si>
    <t>Attendance is below 90%​</t>
  </si>
  <si>
    <t>Persistently late to school​</t>
  </si>
  <si>
    <r>
      <t>Punctuality</t>
    </r>
    <r>
      <rPr>
        <sz val="11"/>
        <color rgb="FF000000"/>
        <rFont val="Calibri"/>
        <family val="2"/>
      </rPr>
      <t>​ (late</t>
    </r>
    <r>
      <rPr>
        <b/>
        <sz val="11"/>
        <color rgb="FF000000"/>
        <rFont val="Calibri"/>
        <family val="2"/>
      </rPr>
      <t xml:space="preserve"> #)</t>
    </r>
  </si>
  <si>
    <t>A</t>
  </si>
  <si>
    <t>B</t>
  </si>
  <si>
    <t>C</t>
  </si>
  <si>
    <t>Enquiries</t>
  </si>
  <si>
    <t>Use this page to help your child remember the enquiries they have learnt about this year.</t>
  </si>
  <si>
    <t xml:space="preserve">As we approach the end of the academic year, I am pleased to share with you </t>
  </si>
  <si>
    <t>annual report for 2022-23. This gives an overview of</t>
  </si>
  <si>
    <t>achievements this year, as well as some indications for things they need to continue to develop in the year ahead. I hope that you find its contents informative, and that you enjoy the opportunity to celebrate the progress made.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</si>
</sst>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22"/>
      <color rgb="FFFF0000"/>
      <name val="Calibri"/>
      <family val="2"/>
    </font>
    <font>
      <sz val="12"/>
      <color theme="1"/>
      <name val="Calibri"/>
      <family val="2"/>
    </font>
    <font>
      <sz val="7"/>
      <color rgb="FF000000"/>
      <name val="Calibri"/>
      <family val="2"/>
    </font>
    <font>
      <b/>
      <sz val="11"/>
      <color rgb="FFFF0000"/>
      <name val="Calibri"/>
      <family val="2"/>
    </font>
    <font>
      <b/>
      <sz val="16"/>
      <color rgb="FFFF0000"/>
      <name val="Calibri"/>
      <family val="2"/>
    </font>
    <font>
      <b/>
      <sz val="12"/>
      <color theme="1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b/>
      <sz val="14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009BD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centerContinuous" vertical="center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 applyProtection="1">
      <alignment horizontal="left" vertical="center"/>
      <protection locked="0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Continuous" vertical="center"/>
      <protection locked="0"/>
    </xf>
    <xf numFmtId="0" fontId="1" fillId="3" borderId="6" xfId="0" applyFont="1" applyFill="1" applyBorder="1" applyAlignment="1">
      <alignment horizontal="centerContinuous" vertical="center"/>
    </xf>
    <xf numFmtId="0" fontId="1" fillId="3" borderId="6" xfId="0" applyFont="1" applyFill="1" applyBorder="1" applyAlignment="1" applyProtection="1">
      <alignment horizontal="left" vertical="center" wrapText="1"/>
      <protection locked="0"/>
    </xf>
    <xf numFmtId="0" fontId="1" fillId="3" borderId="7" xfId="0" applyFont="1" applyFill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justify" vertical="center"/>
    </xf>
    <xf numFmtId="0" fontId="1" fillId="0" borderId="4" xfId="0" applyFont="1" applyBorder="1" applyAlignment="1" applyProtection="1">
      <alignment horizontal="justify" vertical="center" wrapText="1"/>
      <protection locked="0"/>
    </xf>
    <xf numFmtId="0" fontId="4" fillId="0" borderId="4" xfId="0" applyFont="1" applyBorder="1" applyAlignment="1">
      <alignment horizontal="justify" vertical="center"/>
    </xf>
    <xf numFmtId="0" fontId="0" fillId="0" borderId="4" xfId="0" applyBorder="1" applyAlignment="1">
      <alignment horizontal="left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 applyProtection="1">
      <alignment vertical="center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>
      <alignment horizontal="left" vertical="center"/>
    </xf>
    <xf numFmtId="0" fontId="1" fillId="4" borderId="9" xfId="0" applyFont="1" applyFill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2" borderId="10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left" vertical="center" wrapText="1"/>
      <protection locked="0"/>
    </xf>
    <xf numFmtId="0" fontId="8" fillId="0" borderId="0" xfId="0" applyFont="1"/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readingOrder="1"/>
    </xf>
    <xf numFmtId="0" fontId="8" fillId="2" borderId="4" xfId="0" applyFont="1" applyFill="1" applyBorder="1" applyAlignment="1" applyProtection="1">
      <alignment vertical="center"/>
      <protection locked="0"/>
    </xf>
    <xf numFmtId="0" fontId="10" fillId="0" borderId="4" xfId="0" applyFont="1" applyBorder="1" applyAlignment="1">
      <alignment horizontal="right" vertical="center" wrapText="1"/>
    </xf>
    <xf numFmtId="49" fontId="8" fillId="2" borderId="4" xfId="0" quotePrefix="1" applyNumberFormat="1" applyFont="1" applyFill="1" applyBorder="1" applyAlignment="1" applyProtection="1">
      <alignment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6" borderId="4" xfId="0" applyFont="1" applyFill="1" applyBorder="1" applyAlignment="1">
      <alignment horizontal="left" vertical="center" wrapText="1" readingOrder="1"/>
    </xf>
    <xf numFmtId="0" fontId="14" fillId="6" borderId="4" xfId="0" applyFont="1" applyFill="1" applyBorder="1" applyAlignment="1">
      <alignment horizontal="justify" vertical="center" wrapText="1" readingOrder="1"/>
    </xf>
    <xf numFmtId="0" fontId="13" fillId="0" borderId="4" xfId="0" applyFont="1" applyBorder="1" applyAlignment="1">
      <alignment horizontal="left" vertical="center" wrapText="1" readingOrder="1"/>
    </xf>
    <xf numFmtId="0" fontId="14" fillId="0" borderId="4" xfId="0" applyFont="1" applyBorder="1" applyAlignment="1">
      <alignment horizontal="justify" vertical="center" wrapText="1" readingOrder="1"/>
    </xf>
    <xf numFmtId="0" fontId="13" fillId="6" borderId="9" xfId="0" applyFont="1" applyFill="1" applyBorder="1" applyAlignment="1">
      <alignment horizontal="left" vertical="center" wrapText="1" readingOrder="1"/>
    </xf>
    <xf numFmtId="0" fontId="13" fillId="0" borderId="9" xfId="0" applyFont="1" applyBorder="1" applyAlignment="1">
      <alignment horizontal="left" vertical="center" wrapText="1" readingOrder="1"/>
    </xf>
    <xf numFmtId="0" fontId="13" fillId="0" borderId="6" xfId="0" applyFont="1" applyBorder="1" applyAlignment="1">
      <alignment horizontal="left" vertical="center" wrapText="1" readingOrder="1"/>
    </xf>
    <xf numFmtId="0" fontId="5" fillId="7" borderId="4" xfId="0" applyFont="1" applyFill="1" applyBorder="1" applyAlignment="1">
      <alignment horizontal="center" vertical="center" wrapText="1" readingOrder="1"/>
    </xf>
    <xf numFmtId="0" fontId="15" fillId="7" borderId="4" xfId="0" applyFont="1" applyFill="1" applyBorder="1" applyAlignment="1">
      <alignment horizontal="center" vertical="center" wrapText="1" readingOrder="1"/>
    </xf>
    <xf numFmtId="0" fontId="16" fillId="8" borderId="4" xfId="0" applyFont="1" applyFill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5" fillId="9" borderId="4" xfId="0" applyFont="1" applyFill="1" applyBorder="1" applyAlignment="1">
      <alignment horizontal="left" vertical="center" wrapText="1" readingOrder="1"/>
    </xf>
    <xf numFmtId="0" fontId="5" fillId="10" borderId="4" xfId="0" applyFont="1" applyFill="1" applyBorder="1" applyAlignment="1">
      <alignment horizontal="left" vertical="center" wrapText="1" readingOrder="1"/>
    </xf>
    <xf numFmtId="0" fontId="16" fillId="5" borderId="4" xfId="0" applyFont="1" applyFill="1" applyBorder="1" applyAlignment="1">
      <alignment horizontal="left" vertical="center" wrapText="1" readingOrder="1"/>
    </xf>
    <xf numFmtId="0" fontId="8" fillId="0" borderId="4" xfId="1" applyNumberFormat="1" applyFont="1" applyBorder="1" applyProtection="1"/>
    <xf numFmtId="0" fontId="8" fillId="0" borderId="4" xfId="0" applyFont="1" applyBorder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2" fillId="0" borderId="0" xfId="0" applyFont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 readingOrder="1"/>
    </xf>
    <xf numFmtId="0" fontId="14" fillId="0" borderId="6" xfId="0" applyFont="1" applyBorder="1" applyAlignment="1">
      <alignment horizontal="left" vertical="center" wrapText="1" readingOrder="1"/>
    </xf>
  </cellXfs>
  <cellStyles count="2">
    <cellStyle name="Normal" xfId="0" builtinId="0"/>
    <cellStyle name="Per cent" xfId="1" builtinId="5"/>
  </cellStyles>
  <dxfs count="243"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CCFFCC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CCFF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theme="7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71200</xdr:colOff>
      <xdr:row>29</xdr:row>
      <xdr:rowOff>101923</xdr:rowOff>
    </xdr:from>
    <xdr:to>
      <xdr:col>1</xdr:col>
      <xdr:colOff>295865</xdr:colOff>
      <xdr:row>29</xdr:row>
      <xdr:rowOff>314618</xdr:rowOff>
    </xdr:to>
    <xdr:pic>
      <xdr:nvPicPr>
        <xdr:cNvPr id="2" name="Picture 1" descr="A picture containing dark, laptop, sitting, lit&#10;&#10;Description automatically generated">
          <a:extLst>
            <a:ext uri="{FF2B5EF4-FFF2-40B4-BE49-F238E27FC236}">
              <a16:creationId xmlns:a16="http://schemas.microsoft.com/office/drawing/2014/main" id="{E567DBCB-955D-264A-945C-3F7DE7571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8000" y="7963223"/>
          <a:ext cx="224665" cy="212695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1</xdr:col>
      <xdr:colOff>57490</xdr:colOff>
      <xdr:row>30</xdr:row>
      <xdr:rowOff>100004</xdr:rowOff>
    </xdr:from>
    <xdr:to>
      <xdr:col>1</xdr:col>
      <xdr:colOff>321468</xdr:colOff>
      <xdr:row>30</xdr:row>
      <xdr:rowOff>326579</xdr:rowOff>
    </xdr:to>
    <xdr:pic>
      <xdr:nvPicPr>
        <xdr:cNvPr id="3" name="Picture 2" descr="A picture containing dark, black, white, sitting&#10;&#10;Description automatically generated">
          <a:extLst>
            <a:ext uri="{FF2B5EF4-FFF2-40B4-BE49-F238E27FC236}">
              <a16:creationId xmlns:a16="http://schemas.microsoft.com/office/drawing/2014/main" id="{9B425DB1-FAD4-E74F-83F1-73CBEC287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4290" y="8342304"/>
          <a:ext cx="263978" cy="226575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9</xdr:col>
      <xdr:colOff>76200</xdr:colOff>
      <xdr:row>55</xdr:row>
      <xdr:rowOff>0</xdr:rowOff>
    </xdr:from>
    <xdr:to>
      <xdr:col>9</xdr:col>
      <xdr:colOff>4965246</xdr:colOff>
      <xdr:row>55</xdr:row>
      <xdr:rowOff>3263900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339857-9163-2047-A97B-F91669EB5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00200" y="15151100"/>
          <a:ext cx="4889046" cy="32639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2286000</xdr:colOff>
      <xdr:row>28</xdr:row>
      <xdr:rowOff>12700</xdr:rowOff>
    </xdr:from>
    <xdr:to>
      <xdr:col>1</xdr:col>
      <xdr:colOff>363099</xdr:colOff>
      <xdr:row>29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B968A4-3818-5B4A-86BF-A680BCAFA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7493000"/>
          <a:ext cx="413899" cy="374650"/>
        </a:xfrm>
        <a:prstGeom prst="rect">
          <a:avLst/>
        </a:prstGeom>
      </xdr:spPr>
    </xdr:pic>
    <xdr:clientData/>
  </xdr:twoCellAnchor>
  <xdr:twoCellAnchor editAs="oneCell">
    <xdr:from>
      <xdr:col>9</xdr:col>
      <xdr:colOff>115972</xdr:colOff>
      <xdr:row>57</xdr:row>
      <xdr:rowOff>101600</xdr:rowOff>
    </xdr:from>
    <xdr:to>
      <xdr:col>9</xdr:col>
      <xdr:colOff>4893382</xdr:colOff>
      <xdr:row>57</xdr:row>
      <xdr:rowOff>1625600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4DE4FF-4FAE-EA44-9098-DC7F749FD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39972" y="18745200"/>
          <a:ext cx="4777410" cy="1524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3093E-F5AD-0A4D-A98C-CE60436006B0}" name="Table1" displayName="Table1" ref="A2:Q34" totalsRowShown="0" headerRowDxfId="242" dataDxfId="240" headerRowBorderDxfId="241" tableBorderDxfId="239" totalsRowBorderDxfId="238">
  <autoFilter ref="A2:Q34" xr:uid="{B4D680B6-4C6A-8C47-B064-5152F2957F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24D98FC-B1E1-8547-90E2-70DC69F67D6E}" name="ID" dataDxfId="237"/>
    <tableColumn id="2" xr3:uid="{E96177E3-B624-644C-828B-027A731047F9}" name="First Name" dataDxfId="236"/>
    <tableColumn id="3" xr3:uid="{65176D36-A086-8C4D-B9B8-3C7214F38841}" name="Last Name" dataDxfId="235"/>
    <tableColumn id="4" xr3:uid="{175FA597-3A20-E943-A87C-0DDA51D9249E}" name="Full Name" dataDxfId="234"/>
    <tableColumn id="5" xr3:uid="{8072E563-7554-CF47-93CF-7E05809752F5}" name="R" dataDxfId="233"/>
    <tableColumn id="6" xr3:uid="{EE11DA0C-7259-C94F-B25D-ABC7826129A7}" name="W" dataDxfId="232"/>
    <tableColumn id="7" xr3:uid="{9358CFF4-2A5B-D24C-B5EE-D94059B3B3D1}" name="M" dataDxfId="231"/>
    <tableColumn id="8" xr3:uid="{591D9507-CD7A-3149-93B4-661B1DD1288E}" name="Attendance" dataDxfId="230"/>
    <tableColumn id="9" xr3:uid="{E7A1E11A-8FA4-9043-9204-B431C16BD33B}" name="Att Code" dataDxfId="229"/>
    <tableColumn id="10" xr3:uid="{266C8CE6-3636-D642-8B39-2B57CE885C54}" name="Punctuality (Lates) #" dataDxfId="228"/>
    <tableColumn id="11" xr3:uid="{BC147F70-311F-F34A-AFF5-7A2ADC070BFE}" name="Punc Code" dataDxfId="227"/>
    <tableColumn id="12" xr3:uid="{8647266C-0F0C-3949-897B-F563AAC995AA}" name="Reader Teacher comments" dataDxfId="226"/>
    <tableColumn id="13" xr3:uid="{7B05284C-88EB-F645-858B-73CE540E75AE}" name="Writer Teacher comments" dataDxfId="225"/>
    <tableColumn id="14" xr3:uid="{6BEAB2AB-1491-0A49-8084-41D8C1401BAD}" name="Mathematician Teacher comments" dataDxfId="224"/>
    <tableColumn id="15" xr3:uid="{C608BA81-987F-DA48-9FA6-B2F9ED4889FF}" name="21st C learner Teacher comments" dataDxfId="223"/>
    <tableColumn id="16" xr3:uid="{88EA934D-8849-9A4E-A436-8ABACD6E08E2}" name="Rights and Responsibilities Teacher comments" dataDxfId="222"/>
    <tableColumn id="17" xr3:uid="{C4A89EB0-A812-1446-A3BB-3177BE07A8E5}" name="Pupil Voice" dataDxfId="2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FAC6-B11C-584D-AE26-061CBAE36371}">
  <dimension ref="A1:J77"/>
  <sheetViews>
    <sheetView showGridLines="0" topLeftCell="A30" zoomScale="130" zoomScaleNormal="130" workbookViewId="0">
      <selection activeCell="B46" sqref="B46"/>
    </sheetView>
  </sheetViews>
  <sheetFormatPr baseColWidth="10" defaultColWidth="10.83203125" defaultRowHeight="16" x14ac:dyDescent="0.2"/>
  <cols>
    <col min="1" max="1" width="30.6640625" style="39" bestFit="1" customWidth="1"/>
    <col min="2" max="2" width="42.83203125" style="39" customWidth="1"/>
    <col min="3" max="3" width="39.1640625" style="39" customWidth="1"/>
    <col min="4" max="4" width="0" style="39" hidden="1" customWidth="1"/>
    <col min="5" max="5" width="18.33203125" style="39" hidden="1" customWidth="1"/>
    <col min="6" max="6" width="10.83203125" style="39" hidden="1" customWidth="1"/>
    <col min="7" max="7" width="10.83203125" style="39" customWidth="1"/>
    <col min="8" max="8" width="52.33203125" style="39" customWidth="1"/>
    <col min="9" max="9" width="10.83203125" style="39" customWidth="1"/>
    <col min="10" max="10" width="65.83203125" style="39" customWidth="1"/>
    <col min="11" max="11" width="12.5" style="39" customWidth="1"/>
    <col min="12" max="12" width="139.1640625" style="39" customWidth="1"/>
    <col min="13" max="16384" width="10.83203125" style="39"/>
  </cols>
  <sheetData>
    <row r="1" spans="1:8" ht="16" customHeight="1" x14ac:dyDescent="0.2">
      <c r="A1" s="72" t="s">
        <v>150</v>
      </c>
      <c r="B1" s="72"/>
      <c r="C1" s="72"/>
    </row>
    <row r="2" spans="1:8" x14ac:dyDescent="0.2">
      <c r="A2" s="72"/>
      <c r="B2" s="72"/>
      <c r="C2" s="72"/>
    </row>
    <row r="3" spans="1:8" x14ac:dyDescent="0.2">
      <c r="A3" s="72"/>
      <c r="B3" s="72"/>
      <c r="C3" s="72"/>
    </row>
    <row r="4" spans="1:8" ht="29" x14ac:dyDescent="0.2">
      <c r="B4" s="40"/>
      <c r="C4" s="40"/>
      <c r="E4" s="39" t="s">
        <v>151</v>
      </c>
      <c r="H4" s="41"/>
    </row>
    <row r="5" spans="1:8" ht="29" x14ac:dyDescent="0.2">
      <c r="A5" s="42" t="s">
        <v>152</v>
      </c>
      <c r="B5" s="43" t="s">
        <v>153</v>
      </c>
      <c r="C5" s="40"/>
      <c r="E5" s="39" t="s">
        <v>154</v>
      </c>
      <c r="H5" s="41"/>
    </row>
    <row r="6" spans="1:8" ht="29" x14ac:dyDescent="0.2">
      <c r="A6" s="44" t="s">
        <v>155</v>
      </c>
      <c r="B6" s="45"/>
      <c r="C6" s="40"/>
      <c r="E6" s="39" t="s">
        <v>156</v>
      </c>
      <c r="H6" s="41"/>
    </row>
    <row r="7" spans="1:8" ht="22" x14ac:dyDescent="0.2">
      <c r="A7" s="44" t="s">
        <v>157</v>
      </c>
      <c r="B7" s="46" t="s">
        <v>158</v>
      </c>
      <c r="C7" s="47"/>
      <c r="E7" s="39" t="s">
        <v>159</v>
      </c>
      <c r="H7" s="41"/>
    </row>
    <row r="8" spans="1:8" ht="21" x14ac:dyDescent="0.2">
      <c r="A8" s="47"/>
      <c r="B8" s="47"/>
      <c r="C8" s="47"/>
      <c r="E8" s="39" t="s">
        <v>160</v>
      </c>
      <c r="H8" s="41"/>
    </row>
    <row r="9" spans="1:8" ht="21" x14ac:dyDescent="0.2">
      <c r="A9" s="48" t="s">
        <v>161</v>
      </c>
      <c r="B9" s="47"/>
      <c r="C9" s="47"/>
      <c r="E9" s="39" t="s">
        <v>152</v>
      </c>
    </row>
    <row r="10" spans="1:8" s="48" customFormat="1" ht="21" x14ac:dyDescent="0.2">
      <c r="A10" s="48" t="s">
        <v>162</v>
      </c>
      <c r="B10" s="47"/>
      <c r="C10" s="47"/>
      <c r="E10" s="39" t="s">
        <v>163</v>
      </c>
    </row>
    <row r="11" spans="1:8" s="48" customFormat="1" ht="21" x14ac:dyDescent="0.2">
      <c r="B11" s="47"/>
      <c r="C11" s="47"/>
      <c r="E11" s="39"/>
    </row>
    <row r="12" spans="1:8" s="48" customFormat="1" x14ac:dyDescent="0.2">
      <c r="A12" s="73" t="s">
        <v>164</v>
      </c>
      <c r="B12" s="73"/>
      <c r="C12" s="73"/>
    </row>
    <row r="13" spans="1:8" s="48" customFormat="1" ht="45" customHeight="1" x14ac:dyDescent="0.2">
      <c r="A13" s="74" t="s">
        <v>165</v>
      </c>
      <c r="B13" s="74"/>
      <c r="C13" s="74"/>
    </row>
    <row r="14" spans="1:8" s="48" customFormat="1" ht="19" customHeight="1" x14ac:dyDescent="0.2">
      <c r="A14" s="39" t="s">
        <v>166</v>
      </c>
      <c r="B14" s="39"/>
      <c r="C14" s="39"/>
    </row>
    <row r="15" spans="1:8" s="48" customFormat="1" ht="19" customHeight="1" x14ac:dyDescent="0.2">
      <c r="A15" s="39"/>
      <c r="B15" s="39"/>
      <c r="C15" s="39"/>
    </row>
    <row r="16" spans="1:8" s="48" customFormat="1" ht="21" x14ac:dyDescent="0.2">
      <c r="A16" s="48" t="str">
        <f>"If you have any questions, please don’t hesitate to contact us to arrange a conversation with "&amp;A7&amp;"."</f>
        <v>If you have any questions, please don’t hesitate to contact us to arrange a conversation with Mr McLean.</v>
      </c>
      <c r="B16" s="47"/>
      <c r="C16" s="47"/>
    </row>
    <row r="17" spans="1:3" s="48" customFormat="1" ht="21" x14ac:dyDescent="0.2">
      <c r="A17" s="48" t="s">
        <v>167</v>
      </c>
      <c r="B17" s="47"/>
      <c r="C17" s="47"/>
    </row>
    <row r="18" spans="1:3" s="48" customFormat="1" ht="21" x14ac:dyDescent="0.2">
      <c r="A18" s="49" t="s">
        <v>168</v>
      </c>
      <c r="B18" s="47"/>
      <c r="C18" s="47"/>
    </row>
    <row r="19" spans="1:3" ht="21" x14ac:dyDescent="0.2">
      <c r="A19" s="47"/>
      <c r="B19" s="47"/>
      <c r="C19" s="47"/>
    </row>
    <row r="20" spans="1:3" x14ac:dyDescent="0.2">
      <c r="A20" s="75" t="s">
        <v>169</v>
      </c>
      <c r="B20" s="75"/>
      <c r="C20" s="75"/>
    </row>
    <row r="21" spans="1:3" ht="24" x14ac:dyDescent="0.2">
      <c r="A21" s="50" t="s">
        <v>170</v>
      </c>
      <c r="B21" s="51" t="s">
        <v>171</v>
      </c>
    </row>
    <row r="22" spans="1:3" x14ac:dyDescent="0.2">
      <c r="A22" s="52" t="s">
        <v>172</v>
      </c>
      <c r="B22" s="53" t="s">
        <v>173</v>
      </c>
    </row>
    <row r="23" spans="1:3" ht="24" x14ac:dyDescent="0.2">
      <c r="A23" s="54" t="s">
        <v>174</v>
      </c>
      <c r="B23" s="51" t="s">
        <v>175</v>
      </c>
    </row>
    <row r="24" spans="1:3" x14ac:dyDescent="0.2">
      <c r="A24" s="55" t="s">
        <v>176</v>
      </c>
      <c r="B24" s="76" t="s">
        <v>177</v>
      </c>
    </row>
    <row r="25" spans="1:3" x14ac:dyDescent="0.2">
      <c r="A25" s="56" t="s">
        <v>178</v>
      </c>
      <c r="B25" s="77"/>
    </row>
    <row r="26" spans="1:3" ht="21" x14ac:dyDescent="0.2">
      <c r="A26" s="47"/>
      <c r="B26" s="47"/>
      <c r="C26" s="47"/>
    </row>
    <row r="27" spans="1:3" x14ac:dyDescent="0.2">
      <c r="A27" s="39" t="s">
        <v>179</v>
      </c>
    </row>
    <row r="29" spans="1:3" ht="30" customHeight="1" x14ac:dyDescent="0.2">
      <c r="A29" s="39" t="s">
        <v>180</v>
      </c>
    </row>
    <row r="30" spans="1:3" ht="30" customHeight="1" x14ac:dyDescent="0.2">
      <c r="A30" s="39" t="s">
        <v>181</v>
      </c>
    </row>
    <row r="31" spans="1:3" ht="30" customHeight="1" x14ac:dyDescent="0.2">
      <c r="A31" s="39" t="s">
        <v>182</v>
      </c>
    </row>
    <row r="33" spans="1:4" x14ac:dyDescent="0.2">
      <c r="A33" s="39" t="s">
        <v>183</v>
      </c>
    </row>
    <row r="35" spans="1:4" ht="59" customHeight="1" x14ac:dyDescent="0.2">
      <c r="A35" s="39" t="s">
        <v>184</v>
      </c>
    </row>
    <row r="39" spans="1:4" x14ac:dyDescent="0.2">
      <c r="A39" s="57" t="s">
        <v>185</v>
      </c>
      <c r="B39" s="58" t="s">
        <v>186</v>
      </c>
      <c r="C39" s="58" t="s">
        <v>187</v>
      </c>
    </row>
    <row r="40" spans="1:4" x14ac:dyDescent="0.2">
      <c r="A40" s="59" t="s">
        <v>188</v>
      </c>
      <c r="B40" s="60" t="s">
        <v>189</v>
      </c>
      <c r="C40" s="60" t="s">
        <v>190</v>
      </c>
    </row>
    <row r="41" spans="1:4" x14ac:dyDescent="0.2">
      <c r="A41" s="61" t="s">
        <v>191</v>
      </c>
      <c r="B41" s="60" t="s">
        <v>192</v>
      </c>
      <c r="C41" s="60" t="s">
        <v>193</v>
      </c>
    </row>
    <row r="42" spans="1:4" x14ac:dyDescent="0.2">
      <c r="A42" s="62" t="s">
        <v>194</v>
      </c>
      <c r="B42" s="60" t="s">
        <v>195</v>
      </c>
      <c r="C42" s="60" t="s">
        <v>196</v>
      </c>
    </row>
    <row r="43" spans="1:4" x14ac:dyDescent="0.2">
      <c r="A43" s="63" t="s">
        <v>197</v>
      </c>
      <c r="B43" s="60" t="s">
        <v>198</v>
      </c>
      <c r="C43" s="60" t="s">
        <v>199</v>
      </c>
    </row>
    <row r="45" spans="1:4" x14ac:dyDescent="0.2">
      <c r="A45" s="57" t="s">
        <v>185</v>
      </c>
      <c r="B45" s="58" t="s">
        <v>186</v>
      </c>
      <c r="C45" s="58" t="s">
        <v>200</v>
      </c>
    </row>
    <row r="46" spans="1:4" x14ac:dyDescent="0.2">
      <c r="A46" s="59" t="s">
        <v>188</v>
      </c>
      <c r="B46" s="64">
        <v>99</v>
      </c>
      <c r="C46" s="65">
        <v>0</v>
      </c>
      <c r="D46" s="39" t="s">
        <v>201</v>
      </c>
    </row>
    <row r="47" spans="1:4" x14ac:dyDescent="0.2">
      <c r="A47" s="61" t="s">
        <v>191</v>
      </c>
      <c r="B47" s="64">
        <v>96</v>
      </c>
      <c r="C47" s="65">
        <v>2</v>
      </c>
      <c r="D47" s="39" t="s">
        <v>202</v>
      </c>
    </row>
    <row r="48" spans="1:4" x14ac:dyDescent="0.2">
      <c r="A48" s="62" t="s">
        <v>194</v>
      </c>
      <c r="B48" s="64">
        <v>96</v>
      </c>
      <c r="C48" s="65">
        <v>7</v>
      </c>
      <c r="D48" s="39" t="s">
        <v>203</v>
      </c>
    </row>
    <row r="49" spans="1:10" x14ac:dyDescent="0.2">
      <c r="A49" s="63" t="s">
        <v>197</v>
      </c>
      <c r="B49" s="64">
        <v>90</v>
      </c>
      <c r="C49" s="65">
        <v>8</v>
      </c>
      <c r="D49" s="39" t="s">
        <v>23</v>
      </c>
    </row>
    <row r="51" spans="1:10" x14ac:dyDescent="0.2">
      <c r="A51" s="39" t="s">
        <v>204</v>
      </c>
    </row>
    <row r="53" spans="1:10" ht="19" x14ac:dyDescent="0.2">
      <c r="A53" s="66" t="s">
        <v>205</v>
      </c>
    </row>
    <row r="54" spans="1:10" ht="19" x14ac:dyDescent="0.2">
      <c r="A54" s="67"/>
    </row>
    <row r="55" spans="1:10" ht="97" customHeight="1" x14ac:dyDescent="0.2"/>
    <row r="56" spans="1:10" ht="259" customHeight="1" x14ac:dyDescent="0.2"/>
    <row r="58" spans="1:10" ht="139" customHeight="1" x14ac:dyDescent="0.2"/>
    <row r="59" spans="1:10" ht="111" customHeight="1" x14ac:dyDescent="0.2">
      <c r="J59" s="65"/>
    </row>
    <row r="75" spans="1:3" x14ac:dyDescent="0.2">
      <c r="A75" s="73" t="s">
        <v>206</v>
      </c>
      <c r="B75" s="73"/>
      <c r="C75" s="73"/>
    </row>
    <row r="76" spans="1:3" x14ac:dyDescent="0.2">
      <c r="A76" s="39" t="s">
        <v>207</v>
      </c>
    </row>
    <row r="77" spans="1:3" x14ac:dyDescent="0.2">
      <c r="A77" s="39" t="s">
        <v>208</v>
      </c>
    </row>
  </sheetData>
  <mergeCells count="6">
    <mergeCell ref="A75:C75"/>
    <mergeCell ref="A1:C3"/>
    <mergeCell ref="A12:C12"/>
    <mergeCell ref="A13:C13"/>
    <mergeCell ref="A20:C20"/>
    <mergeCell ref="B24:B25"/>
  </mergeCells>
  <dataValidations count="1">
    <dataValidation type="list" allowBlank="1" showInputMessage="1" showErrorMessage="1" sqref="A5" xr:uid="{A23C3171-A1C0-C946-9129-80902C1FFB16}">
      <formula1>$E$4:$E$10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EC0C-4AEB-A34D-81A6-77B3875A3FF3}">
  <sheetPr>
    <tabColor rgb="FFFF0000"/>
  </sheetPr>
  <dimension ref="A1:Q34"/>
  <sheetViews>
    <sheetView tabSelected="1" zoomScale="90" zoomScaleNormal="90" workbookViewId="0">
      <pane xSplit="3" ySplit="2" topLeftCell="D3" activePane="bottomRight" state="frozen"/>
      <selection activeCell="A13" sqref="A13:C13"/>
      <selection pane="topRight" activeCell="A13" sqref="A13:C13"/>
      <selection pane="bottomLeft" activeCell="A13" sqref="A13:C13"/>
      <selection pane="bottomRight" activeCell="H3" sqref="H3"/>
    </sheetView>
  </sheetViews>
  <sheetFormatPr baseColWidth="10" defaultColWidth="10.83203125" defaultRowHeight="15" x14ac:dyDescent="0.2"/>
  <cols>
    <col min="1" max="1" width="5" style="1" bestFit="1" customWidth="1"/>
    <col min="2" max="2" width="11.5" style="35" customWidth="1"/>
    <col min="3" max="3" width="11.33203125" style="35" customWidth="1"/>
    <col min="4" max="4" width="27.5" style="1" customWidth="1"/>
    <col min="5" max="7" width="6.33203125" style="36" customWidth="1"/>
    <col min="8" max="8" width="15.1640625" style="36" customWidth="1"/>
    <col min="9" max="9" width="9.5" style="37" customWidth="1"/>
    <col min="10" max="10" width="19.33203125" style="36" customWidth="1"/>
    <col min="11" max="11" width="10.33203125" style="37" customWidth="1"/>
    <col min="12" max="17" width="89" style="38" customWidth="1"/>
    <col min="18" max="16384" width="10.83203125" style="1"/>
  </cols>
  <sheetData>
    <row r="1" spans="1:17" ht="25" customHeight="1" x14ac:dyDescent="0.2">
      <c r="B1" s="68" t="s">
        <v>0</v>
      </c>
      <c r="C1" s="68"/>
      <c r="E1" s="69" t="s">
        <v>1</v>
      </c>
      <c r="F1" s="70"/>
      <c r="G1" s="71"/>
      <c r="H1" s="2" t="s">
        <v>2</v>
      </c>
      <c r="I1" s="3"/>
      <c r="J1" s="2" t="s">
        <v>2</v>
      </c>
      <c r="K1" s="3"/>
      <c r="L1" s="4"/>
      <c r="M1" s="4"/>
      <c r="N1" s="4"/>
      <c r="O1" s="4"/>
      <c r="P1" s="4"/>
      <c r="Q1" s="4"/>
    </row>
    <row r="2" spans="1:17" ht="16" x14ac:dyDescent="0.2">
      <c r="A2" s="5" t="s">
        <v>3</v>
      </c>
      <c r="B2" s="6" t="s">
        <v>4</v>
      </c>
      <c r="C2" s="6" t="s">
        <v>5</v>
      </c>
      <c r="D2" s="7" t="s">
        <v>6</v>
      </c>
      <c r="E2" s="8" t="s">
        <v>7</v>
      </c>
      <c r="F2" s="8" t="s">
        <v>8</v>
      </c>
      <c r="G2" s="8" t="s">
        <v>9</v>
      </c>
      <c r="H2" s="9" t="s">
        <v>10</v>
      </c>
      <c r="I2" s="10" t="s">
        <v>11</v>
      </c>
      <c r="J2" s="9" t="s">
        <v>12</v>
      </c>
      <c r="K2" s="10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1" t="s">
        <v>18</v>
      </c>
      <c r="Q2" s="12" t="s">
        <v>19</v>
      </c>
    </row>
    <row r="3" spans="1:17" ht="109" customHeight="1" x14ac:dyDescent="0.2">
      <c r="A3" s="13" t="s">
        <v>20</v>
      </c>
      <c r="B3" s="14" t="s">
        <v>21</v>
      </c>
      <c r="C3" s="14" t="s">
        <v>22</v>
      </c>
      <c r="D3" s="15" t="s">
        <v>119</v>
      </c>
      <c r="E3" s="16" t="s">
        <v>23</v>
      </c>
      <c r="F3" s="16" t="s">
        <v>24</v>
      </c>
      <c r="G3" s="16" t="s">
        <v>24</v>
      </c>
      <c r="H3" s="17">
        <v>99</v>
      </c>
      <c r="I3" s="18" t="str">
        <f>IF(H3&gt;='Set up Report'!$B$46,"A",IF(H3&gt;='Set up Report'!$B$47,"B",IF(H3&lt;'Set up Report'!$B$49,"D","C")))</f>
        <v>A</v>
      </c>
      <c r="J3" s="17">
        <v>1</v>
      </c>
      <c r="K3" s="18" t="str">
        <f>IF(AND(J3='Set up Report'!$C$46),"A",IF(AND(J3&lt;='Set up Report'!$C$47),"B",IF(AND(J3&lt;='Set up Report'!$C$48),"C",IF(AND(J3&gt;'Set up Report'!$C$48),"D"))))</f>
        <v>B</v>
      </c>
      <c r="L3" s="19"/>
      <c r="M3" s="19"/>
      <c r="N3" s="20"/>
      <c r="O3" s="19"/>
      <c r="P3" s="21"/>
      <c r="Q3" s="22"/>
    </row>
    <row r="4" spans="1:17" ht="109" customHeight="1" x14ac:dyDescent="0.2">
      <c r="A4" s="13" t="s">
        <v>25</v>
      </c>
      <c r="B4" s="14" t="s">
        <v>26</v>
      </c>
      <c r="C4" s="14" t="s">
        <v>27</v>
      </c>
      <c r="D4" s="15" t="s">
        <v>120</v>
      </c>
      <c r="E4" s="16" t="s">
        <v>23</v>
      </c>
      <c r="F4" s="16" t="s">
        <v>23</v>
      </c>
      <c r="G4" s="16" t="s">
        <v>23</v>
      </c>
      <c r="H4" s="17">
        <v>99</v>
      </c>
      <c r="I4" s="18" t="str">
        <f>IF(H4&gt;='Set up Report'!$B$46,"A",IF(H4&gt;='Set up Report'!$B$47,"B",IF(H4&lt;'Set up Report'!$B$49,"D","C")))</f>
        <v>A</v>
      </c>
      <c r="J4" s="17">
        <v>1</v>
      </c>
      <c r="K4" s="18" t="str">
        <f>IF(AND(J4='Set up Report'!$C$46),"A",IF(AND(J4&lt;='Set up Report'!$C$47),"B",IF(AND(J4&lt;='Set up Report'!$C$48),"C",IF(AND(J4&gt;'Set up Report'!$C$48),"D"))))</f>
        <v>B</v>
      </c>
      <c r="L4" s="23"/>
      <c r="M4" s="23"/>
      <c r="N4" s="23"/>
      <c r="O4" s="23"/>
      <c r="P4" s="23"/>
      <c r="Q4" s="22"/>
    </row>
    <row r="5" spans="1:17" ht="109" customHeight="1" x14ac:dyDescent="0.2">
      <c r="A5" s="13" t="s">
        <v>28</v>
      </c>
      <c r="B5" s="14" t="s">
        <v>29</v>
      </c>
      <c r="C5" s="14" t="s">
        <v>30</v>
      </c>
      <c r="D5" s="15" t="s">
        <v>121</v>
      </c>
      <c r="E5" s="16" t="s">
        <v>24</v>
      </c>
      <c r="F5" s="16" t="s">
        <v>31</v>
      </c>
      <c r="G5" s="16" t="s">
        <v>32</v>
      </c>
      <c r="H5" s="17">
        <v>99</v>
      </c>
      <c r="I5" s="18" t="str">
        <f>IF(H5&gt;='Set up Report'!$B$46,"A",IF(H5&gt;='Set up Report'!$B$47,"B",IF(H5&lt;'Set up Report'!$B$49,"D","C")))</f>
        <v>A</v>
      </c>
      <c r="J5" s="17">
        <v>1</v>
      </c>
      <c r="K5" s="18" t="str">
        <f>IF(AND(J5='Set up Report'!$C$46),"A",IF(AND(J5&lt;='Set up Report'!$C$47),"B",IF(AND(J5&lt;='Set up Report'!$C$48),"C",IF(AND(J5&gt;'Set up Report'!$C$48),"D"))))</f>
        <v>B</v>
      </c>
      <c r="L5" s="23"/>
      <c r="M5" s="23"/>
      <c r="N5" s="23"/>
      <c r="O5" s="23"/>
      <c r="P5" s="23"/>
      <c r="Q5" s="22"/>
    </row>
    <row r="6" spans="1:17" ht="109" customHeight="1" x14ac:dyDescent="0.2">
      <c r="A6" s="13" t="s">
        <v>33</v>
      </c>
      <c r="B6" s="14" t="s">
        <v>34</v>
      </c>
      <c r="C6" s="14" t="s">
        <v>35</v>
      </c>
      <c r="D6" s="15" t="s">
        <v>122</v>
      </c>
      <c r="E6" s="16" t="s">
        <v>24</v>
      </c>
      <c r="F6" s="16" t="s">
        <v>24</v>
      </c>
      <c r="G6" s="16" t="s">
        <v>24</v>
      </c>
      <c r="H6" s="17">
        <v>99</v>
      </c>
      <c r="I6" s="18" t="str">
        <f>IF(H6&gt;='Set up Report'!$B$46,"A",IF(H6&gt;='Set up Report'!$B$47,"B",IF(H6&lt;'Set up Report'!$B$49,"D","C")))</f>
        <v>A</v>
      </c>
      <c r="J6" s="17">
        <v>1</v>
      </c>
      <c r="K6" s="18" t="str">
        <f>IF(AND(J6='Set up Report'!$C$46),"A",IF(AND(J6&lt;='Set up Report'!$C$47),"B",IF(AND(J6&lt;='Set up Report'!$C$48),"C",IF(AND(J6&gt;'Set up Report'!$C$48),"D"))))</f>
        <v>B</v>
      </c>
      <c r="L6" s="23"/>
      <c r="M6" s="23"/>
      <c r="N6" s="23"/>
      <c r="O6" s="23"/>
      <c r="P6" s="23"/>
      <c r="Q6" s="22"/>
    </row>
    <row r="7" spans="1:17" ht="109" customHeight="1" x14ac:dyDescent="0.2">
      <c r="A7" s="13" t="s">
        <v>36</v>
      </c>
      <c r="B7" s="14" t="s">
        <v>37</v>
      </c>
      <c r="C7" s="14" t="s">
        <v>38</v>
      </c>
      <c r="D7" s="15" t="s">
        <v>123</v>
      </c>
      <c r="E7" s="16" t="s">
        <v>23</v>
      </c>
      <c r="F7" s="16" t="s">
        <v>23</v>
      </c>
      <c r="G7" s="16" t="s">
        <v>23</v>
      </c>
      <c r="H7" s="17">
        <v>99</v>
      </c>
      <c r="I7" s="18" t="str">
        <f>IF(H7&gt;='Set up Report'!$B$46,"A",IF(H7&gt;='Set up Report'!$B$47,"B",IF(H7&lt;'Set up Report'!$B$49,"D","C")))</f>
        <v>A</v>
      </c>
      <c r="J7" s="17">
        <v>1</v>
      </c>
      <c r="K7" s="18" t="str">
        <f>IF(AND(J7='Set up Report'!$C$46),"A",IF(AND(J7&lt;='Set up Report'!$C$47),"B",IF(AND(J7&lt;='Set up Report'!$C$48),"C",IF(AND(J7&gt;'Set up Report'!$C$48),"D"))))</f>
        <v>B</v>
      </c>
      <c r="L7" s="23"/>
      <c r="M7" s="23"/>
      <c r="N7" s="23"/>
      <c r="O7" s="23"/>
      <c r="P7" s="23"/>
      <c r="Q7" s="22"/>
    </row>
    <row r="8" spans="1:17" ht="109" customHeight="1" x14ac:dyDescent="0.2">
      <c r="A8" s="13" t="s">
        <v>39</v>
      </c>
      <c r="B8" s="14" t="s">
        <v>40</v>
      </c>
      <c r="C8" s="14" t="s">
        <v>41</v>
      </c>
      <c r="D8" s="15" t="s">
        <v>124</v>
      </c>
      <c r="E8" s="16" t="s">
        <v>24</v>
      </c>
      <c r="F8" s="16" t="s">
        <v>24</v>
      </c>
      <c r="G8" s="16" t="s">
        <v>24</v>
      </c>
      <c r="H8" s="17">
        <v>99</v>
      </c>
      <c r="I8" s="18" t="str">
        <f>IF(H8&gt;='Set up Report'!$B$46,"A",IF(H8&gt;='Set up Report'!$B$47,"B",IF(H8&lt;'Set up Report'!$B$49,"D","C")))</f>
        <v>A</v>
      </c>
      <c r="J8" s="17">
        <v>1</v>
      </c>
      <c r="K8" s="18" t="str">
        <f>IF(AND(J8='Set up Report'!$C$46),"A",IF(AND(J8&lt;='Set up Report'!$C$47),"B",IF(AND(J8&lt;='Set up Report'!$C$48),"C",IF(AND(J8&gt;'Set up Report'!$C$48),"D"))))</f>
        <v>B</v>
      </c>
      <c r="L8" s="23"/>
      <c r="M8" s="23"/>
      <c r="N8" s="23"/>
      <c r="O8" s="23"/>
      <c r="P8" s="23"/>
      <c r="Q8" s="22"/>
    </row>
    <row r="9" spans="1:17" ht="109" customHeight="1" x14ac:dyDescent="0.2">
      <c r="A9" s="13" t="s">
        <v>42</v>
      </c>
      <c r="B9" s="14" t="s">
        <v>43</v>
      </c>
      <c r="C9" s="14" t="s">
        <v>44</v>
      </c>
      <c r="D9" s="15" t="s">
        <v>125</v>
      </c>
      <c r="E9" s="16" t="s">
        <v>23</v>
      </c>
      <c r="F9" s="16" t="s">
        <v>23</v>
      </c>
      <c r="G9" s="16" t="s">
        <v>23</v>
      </c>
      <c r="H9" s="17">
        <v>99</v>
      </c>
      <c r="I9" s="18" t="str">
        <f>IF(H9&gt;='Set up Report'!$B$46,"A",IF(H9&gt;='Set up Report'!$B$47,"B",IF(H9&lt;'Set up Report'!$B$49,"D","C")))</f>
        <v>A</v>
      </c>
      <c r="J9" s="17">
        <v>1</v>
      </c>
      <c r="K9" s="18" t="str">
        <f>IF(AND(J9='Set up Report'!$C$46),"A",IF(AND(J9&lt;='Set up Report'!$C$47),"B",IF(AND(J9&lt;='Set up Report'!$C$48),"C",IF(AND(J9&gt;'Set up Report'!$C$48),"D"))))</f>
        <v>B</v>
      </c>
      <c r="L9" s="23"/>
      <c r="M9" s="23"/>
      <c r="N9" s="23"/>
      <c r="O9" s="23"/>
      <c r="P9" s="23"/>
      <c r="Q9" s="22"/>
    </row>
    <row r="10" spans="1:17" ht="109" customHeight="1" x14ac:dyDescent="0.2">
      <c r="A10" s="13" t="s">
        <v>45</v>
      </c>
      <c r="B10" s="14" t="s">
        <v>46</v>
      </c>
      <c r="C10" s="14" t="s">
        <v>47</v>
      </c>
      <c r="D10" s="15" t="s">
        <v>126</v>
      </c>
      <c r="E10" s="16" t="s">
        <v>24</v>
      </c>
      <c r="F10" s="16" t="s">
        <v>24</v>
      </c>
      <c r="G10" s="16" t="s">
        <v>24</v>
      </c>
      <c r="H10" s="17">
        <v>99</v>
      </c>
      <c r="I10" s="18" t="str">
        <f>IF(H10&gt;='Set up Report'!$B$46,"A",IF(H10&gt;='Set up Report'!$B$47,"B",IF(H10&lt;'Set up Report'!$B$49,"D","C")))</f>
        <v>A</v>
      </c>
      <c r="J10" s="17">
        <v>1</v>
      </c>
      <c r="K10" s="18" t="str">
        <f>IF(AND(J10='Set up Report'!$C$46),"A",IF(AND(J10&lt;='Set up Report'!$C$47),"B",IF(AND(J10&lt;='Set up Report'!$C$48),"C",IF(AND(J10&gt;'Set up Report'!$C$48),"D"))))</f>
        <v>B</v>
      </c>
      <c r="L10" s="23"/>
      <c r="M10" s="23"/>
      <c r="N10" s="23"/>
      <c r="O10" s="23"/>
      <c r="P10" s="23"/>
      <c r="Q10" s="22"/>
    </row>
    <row r="11" spans="1:17" ht="109" customHeight="1" x14ac:dyDescent="0.2">
      <c r="A11" s="13" t="s">
        <v>48</v>
      </c>
      <c r="B11" s="14" t="s">
        <v>49</v>
      </c>
      <c r="C11" s="14" t="s">
        <v>50</v>
      </c>
      <c r="D11" s="15" t="s">
        <v>127</v>
      </c>
      <c r="E11" s="16" t="s">
        <v>23</v>
      </c>
      <c r="F11" s="16" t="s">
        <v>24</v>
      </c>
      <c r="G11" s="16" t="s">
        <v>23</v>
      </c>
      <c r="H11" s="17">
        <v>99</v>
      </c>
      <c r="I11" s="18" t="str">
        <f>IF(H11&gt;='Set up Report'!$B$46,"A",IF(H11&gt;='Set up Report'!$B$47,"B",IF(H11&lt;'Set up Report'!$B$49,"D","C")))</f>
        <v>A</v>
      </c>
      <c r="J11" s="17">
        <v>1</v>
      </c>
      <c r="K11" s="18" t="str">
        <f>IF(AND(J11='Set up Report'!$C$46),"A",IF(AND(J11&lt;='Set up Report'!$C$47),"B",IF(AND(J11&lt;='Set up Report'!$C$48),"C",IF(AND(J11&gt;'Set up Report'!$C$48),"D"))))</f>
        <v>B</v>
      </c>
      <c r="L11" s="23"/>
      <c r="M11" s="23"/>
      <c r="N11" s="23"/>
      <c r="O11" s="23"/>
      <c r="P11" s="23"/>
      <c r="Q11" s="22"/>
    </row>
    <row r="12" spans="1:17" ht="109" customHeight="1" x14ac:dyDescent="0.2">
      <c r="A12" s="13" t="s">
        <v>51</v>
      </c>
      <c r="B12" s="14" t="s">
        <v>52</v>
      </c>
      <c r="C12" s="14" t="s">
        <v>53</v>
      </c>
      <c r="D12" s="15" t="s">
        <v>128</v>
      </c>
      <c r="E12" s="16" t="s">
        <v>24</v>
      </c>
      <c r="F12" s="16" t="s">
        <v>24</v>
      </c>
      <c r="G12" s="16" t="s">
        <v>24</v>
      </c>
      <c r="H12" s="17">
        <v>99</v>
      </c>
      <c r="I12" s="18" t="str">
        <f>IF(H12&gt;='Set up Report'!$B$46,"A",IF(H12&gt;='Set up Report'!$B$47,"B",IF(H12&lt;'Set up Report'!$B$49,"D","C")))</f>
        <v>A</v>
      </c>
      <c r="J12" s="17">
        <v>1</v>
      </c>
      <c r="K12" s="18" t="str">
        <f>IF(AND(J12='Set up Report'!$C$46),"A",IF(AND(J12&lt;='Set up Report'!$C$47),"B",IF(AND(J12&lt;='Set up Report'!$C$48),"C",IF(AND(J12&gt;'Set up Report'!$C$48),"D"))))</f>
        <v>B</v>
      </c>
      <c r="L12" s="23"/>
      <c r="M12" s="23"/>
      <c r="N12" s="23"/>
      <c r="O12" s="23"/>
      <c r="P12" s="23"/>
      <c r="Q12" s="22"/>
    </row>
    <row r="13" spans="1:17" ht="109" customHeight="1" x14ac:dyDescent="0.2">
      <c r="A13" s="13" t="s">
        <v>54</v>
      </c>
      <c r="B13" s="14" t="s">
        <v>55</v>
      </c>
      <c r="C13" s="14" t="s">
        <v>56</v>
      </c>
      <c r="D13" s="15" t="s">
        <v>129</v>
      </c>
      <c r="E13" s="16" t="s">
        <v>24</v>
      </c>
      <c r="F13" s="16" t="s">
        <v>24</v>
      </c>
      <c r="G13" s="16" t="s">
        <v>32</v>
      </c>
      <c r="H13" s="17">
        <v>99</v>
      </c>
      <c r="I13" s="18" t="str">
        <f>IF(H13&gt;='Set up Report'!$B$46,"A",IF(H13&gt;='Set up Report'!$B$47,"B",IF(H13&lt;'Set up Report'!$B$49,"D","C")))</f>
        <v>A</v>
      </c>
      <c r="J13" s="17">
        <v>1</v>
      </c>
      <c r="K13" s="18" t="str">
        <f>IF(AND(J13='Set up Report'!$C$46),"A",IF(AND(J13&lt;='Set up Report'!$C$47),"B",IF(AND(J13&lt;='Set up Report'!$C$48),"C",IF(AND(J13&gt;'Set up Report'!$C$48),"D"))))</f>
        <v>B</v>
      </c>
      <c r="L13" s="23"/>
      <c r="M13" s="23"/>
      <c r="N13" s="23"/>
      <c r="O13" s="23"/>
      <c r="P13" s="23"/>
      <c r="Q13" s="22"/>
    </row>
    <row r="14" spans="1:17" ht="109" customHeight="1" x14ac:dyDescent="0.2">
      <c r="A14" s="13" t="s">
        <v>57</v>
      </c>
      <c r="B14" s="14" t="s">
        <v>58</v>
      </c>
      <c r="C14" s="14" t="s">
        <v>59</v>
      </c>
      <c r="D14" s="15" t="s">
        <v>130</v>
      </c>
      <c r="E14" s="16" t="s">
        <v>23</v>
      </c>
      <c r="F14" s="16" t="s">
        <v>23</v>
      </c>
      <c r="G14" s="16" t="s">
        <v>24</v>
      </c>
      <c r="H14" s="17">
        <v>99</v>
      </c>
      <c r="I14" s="18" t="str">
        <f>IF(H14&gt;='Set up Report'!$B$46,"A",IF(H14&gt;='Set up Report'!$B$47,"B",IF(H14&lt;'Set up Report'!$B$49,"D","C")))</f>
        <v>A</v>
      </c>
      <c r="J14" s="17">
        <v>1</v>
      </c>
      <c r="K14" s="18" t="str">
        <f>IF(AND(J14='Set up Report'!$C$46),"A",IF(AND(J14&lt;='Set up Report'!$C$47),"B",IF(AND(J14&lt;='Set up Report'!$C$48),"C",IF(AND(J14&gt;'Set up Report'!$C$48),"D"))))</f>
        <v>B</v>
      </c>
      <c r="L14" s="23"/>
      <c r="M14" s="23"/>
      <c r="N14" s="23"/>
      <c r="O14" s="23"/>
      <c r="P14" s="23"/>
      <c r="Q14" s="22"/>
    </row>
    <row r="15" spans="1:17" ht="109" customHeight="1" x14ac:dyDescent="0.2">
      <c r="A15" s="13" t="s">
        <v>60</v>
      </c>
      <c r="B15" s="14" t="s">
        <v>61</v>
      </c>
      <c r="C15" s="14" t="s">
        <v>62</v>
      </c>
      <c r="D15" s="15" t="s">
        <v>131</v>
      </c>
      <c r="E15" s="16" t="s">
        <v>32</v>
      </c>
      <c r="F15" s="16" t="s">
        <v>32</v>
      </c>
      <c r="G15" s="16" t="s">
        <v>24</v>
      </c>
      <c r="H15" s="17">
        <v>99</v>
      </c>
      <c r="I15" s="18" t="str">
        <f>IF(H15&gt;='Set up Report'!$B$46,"A",IF(H15&gt;='Set up Report'!$B$47,"B",IF(H15&lt;'Set up Report'!$B$49,"D","C")))</f>
        <v>A</v>
      </c>
      <c r="J15" s="17">
        <v>1</v>
      </c>
      <c r="K15" s="18" t="str">
        <f>IF(AND(J15='Set up Report'!$C$46),"A",IF(AND(J15&lt;='Set up Report'!$C$47),"B",IF(AND(J15&lt;='Set up Report'!$C$48),"C",IF(AND(J15&gt;'Set up Report'!$C$48),"D"))))</f>
        <v>B</v>
      </c>
      <c r="L15" s="23"/>
      <c r="M15" s="23"/>
      <c r="N15" s="23"/>
      <c r="O15" s="23"/>
      <c r="P15" s="23"/>
      <c r="Q15" s="22"/>
    </row>
    <row r="16" spans="1:17" ht="109" customHeight="1" x14ac:dyDescent="0.2">
      <c r="A16" s="13" t="s">
        <v>63</v>
      </c>
      <c r="B16" s="14" t="s">
        <v>64</v>
      </c>
      <c r="C16" s="14" t="s">
        <v>65</v>
      </c>
      <c r="D16" s="15" t="s">
        <v>132</v>
      </c>
      <c r="E16" s="16" t="s">
        <v>31</v>
      </c>
      <c r="F16" s="16" t="s">
        <v>66</v>
      </c>
      <c r="G16" s="16" t="s">
        <v>32</v>
      </c>
      <c r="H16" s="17">
        <v>99</v>
      </c>
      <c r="I16" s="18" t="str">
        <f>IF(H16&gt;='Set up Report'!$B$46,"A",IF(H16&gt;='Set up Report'!$B$47,"B",IF(H16&lt;'Set up Report'!$B$49,"D","C")))</f>
        <v>A</v>
      </c>
      <c r="J16" s="17">
        <v>1</v>
      </c>
      <c r="K16" s="18" t="str">
        <f>IF(AND(J16='Set up Report'!$C$46),"A",IF(AND(J16&lt;='Set up Report'!$C$47),"B",IF(AND(J16&lt;='Set up Report'!$C$48),"C",IF(AND(J16&gt;'Set up Report'!$C$48),"D"))))</f>
        <v>B</v>
      </c>
      <c r="L16" s="23"/>
      <c r="M16" s="23"/>
      <c r="N16" s="23"/>
      <c r="O16" s="23"/>
      <c r="P16" s="23"/>
      <c r="Q16" s="22"/>
    </row>
    <row r="17" spans="1:17" ht="109" customHeight="1" x14ac:dyDescent="0.2">
      <c r="A17" s="13" t="s">
        <v>67</v>
      </c>
      <c r="B17" s="14" t="s">
        <v>68</v>
      </c>
      <c r="C17" s="14" t="s">
        <v>69</v>
      </c>
      <c r="D17" s="15" t="s">
        <v>133</v>
      </c>
      <c r="E17" s="16" t="s">
        <v>24</v>
      </c>
      <c r="F17" s="16" t="s">
        <v>24</v>
      </c>
      <c r="G17" s="16" t="s">
        <v>24</v>
      </c>
      <c r="H17" s="17">
        <v>99</v>
      </c>
      <c r="I17" s="18" t="str">
        <f>IF(H17&gt;='Set up Report'!$B$46,"A",IF(H17&gt;='Set up Report'!$B$47,"B",IF(H17&lt;'Set up Report'!$B$49,"D","C")))</f>
        <v>A</v>
      </c>
      <c r="J17" s="17">
        <v>1</v>
      </c>
      <c r="K17" s="18" t="str">
        <f>IF(AND(J17='Set up Report'!$C$46),"A",IF(AND(J17&lt;='Set up Report'!$C$47),"B",IF(AND(J17&lt;='Set up Report'!$C$48),"C",IF(AND(J17&gt;'Set up Report'!$C$48),"D"))))</f>
        <v>B</v>
      </c>
      <c r="L17" s="23"/>
      <c r="M17" s="23"/>
      <c r="N17" s="23"/>
      <c r="O17" s="23"/>
      <c r="P17" s="23"/>
      <c r="Q17" s="22"/>
    </row>
    <row r="18" spans="1:17" ht="109" customHeight="1" x14ac:dyDescent="0.2">
      <c r="A18" s="13" t="s">
        <v>70</v>
      </c>
      <c r="B18" s="14" t="s">
        <v>71</v>
      </c>
      <c r="C18" s="14" t="s">
        <v>72</v>
      </c>
      <c r="D18" s="15" t="s">
        <v>134</v>
      </c>
      <c r="E18" s="16" t="s">
        <v>24</v>
      </c>
      <c r="F18" s="16" t="s">
        <v>24</v>
      </c>
      <c r="G18" s="16" t="s">
        <v>32</v>
      </c>
      <c r="H18" s="17">
        <v>99</v>
      </c>
      <c r="I18" s="18" t="str">
        <f>IF(H18&gt;='Set up Report'!$B$46,"A",IF(H18&gt;='Set up Report'!$B$47,"B",IF(H18&lt;'Set up Report'!$B$49,"D","C")))</f>
        <v>A</v>
      </c>
      <c r="J18" s="17">
        <v>1</v>
      </c>
      <c r="K18" s="18" t="str">
        <f>IF(AND(J18='Set up Report'!$C$46),"A",IF(AND(J18&lt;='Set up Report'!$C$47),"B",IF(AND(J18&lt;='Set up Report'!$C$48),"C",IF(AND(J18&gt;'Set up Report'!$C$48),"D"))))</f>
        <v>B</v>
      </c>
      <c r="L18" s="23"/>
      <c r="M18" s="23"/>
      <c r="N18" s="23"/>
      <c r="O18" s="23"/>
      <c r="P18" s="23"/>
      <c r="Q18" s="22"/>
    </row>
    <row r="19" spans="1:17" ht="109" customHeight="1" x14ac:dyDescent="0.2">
      <c r="A19" s="13" t="s">
        <v>73</v>
      </c>
      <c r="B19" s="14" t="s">
        <v>74</v>
      </c>
      <c r="C19" s="14" t="s">
        <v>75</v>
      </c>
      <c r="D19" s="15" t="s">
        <v>135</v>
      </c>
      <c r="E19" s="16" t="s">
        <v>24</v>
      </c>
      <c r="F19" s="16" t="s">
        <v>24</v>
      </c>
      <c r="G19" s="16" t="s">
        <v>24</v>
      </c>
      <c r="H19" s="17">
        <v>99</v>
      </c>
      <c r="I19" s="18" t="str">
        <f>IF(H19&gt;='Set up Report'!$B$46,"A",IF(H19&gt;='Set up Report'!$B$47,"B",IF(H19&lt;'Set up Report'!$B$49,"D","C")))</f>
        <v>A</v>
      </c>
      <c r="J19" s="17">
        <v>1</v>
      </c>
      <c r="K19" s="18" t="str">
        <f>IF(AND(J19='Set up Report'!$C$46),"A",IF(AND(J19&lt;='Set up Report'!$C$47),"B",IF(AND(J19&lt;='Set up Report'!$C$48),"C",IF(AND(J19&gt;'Set up Report'!$C$48),"D"))))</f>
        <v>B</v>
      </c>
      <c r="L19" s="23"/>
      <c r="M19" s="23"/>
      <c r="N19" s="23"/>
      <c r="O19" s="23"/>
      <c r="P19" s="23"/>
      <c r="Q19" s="22"/>
    </row>
    <row r="20" spans="1:17" ht="109" customHeight="1" x14ac:dyDescent="0.2">
      <c r="A20" s="13" t="s">
        <v>76</v>
      </c>
      <c r="B20" s="14" t="s">
        <v>77</v>
      </c>
      <c r="C20" s="14" t="s">
        <v>78</v>
      </c>
      <c r="D20" s="15" t="s">
        <v>136</v>
      </c>
      <c r="E20" s="16" t="s">
        <v>24</v>
      </c>
      <c r="F20" s="16" t="s">
        <v>24</v>
      </c>
      <c r="G20" s="16" t="s">
        <v>24</v>
      </c>
      <c r="H20" s="17">
        <v>99</v>
      </c>
      <c r="I20" s="18" t="str">
        <f>IF(H20&gt;='Set up Report'!$B$46,"A",IF(H20&gt;='Set up Report'!$B$47,"B",IF(H20&lt;'Set up Report'!$B$49,"D","C")))</f>
        <v>A</v>
      </c>
      <c r="J20" s="17">
        <v>1</v>
      </c>
      <c r="K20" s="18" t="str">
        <f>IF(AND(J20='Set up Report'!$C$46),"A",IF(AND(J20&lt;='Set up Report'!$C$47),"B",IF(AND(J20&lt;='Set up Report'!$C$48),"C",IF(AND(J20&gt;'Set up Report'!$C$48),"D"))))</f>
        <v>B</v>
      </c>
      <c r="L20" s="23"/>
      <c r="M20" s="23"/>
      <c r="N20" s="23"/>
      <c r="O20" s="23"/>
      <c r="P20" s="23"/>
      <c r="Q20" s="22"/>
    </row>
    <row r="21" spans="1:17" ht="109" customHeight="1" x14ac:dyDescent="0.2">
      <c r="A21" s="13" t="s">
        <v>79</v>
      </c>
      <c r="B21" s="14" t="s">
        <v>80</v>
      </c>
      <c r="C21" s="14" t="s">
        <v>81</v>
      </c>
      <c r="D21" s="15" t="s">
        <v>137</v>
      </c>
      <c r="E21" s="16" t="s">
        <v>32</v>
      </c>
      <c r="F21" s="16" t="s">
        <v>82</v>
      </c>
      <c r="G21" s="16" t="s">
        <v>24</v>
      </c>
      <c r="H21" s="17">
        <v>99</v>
      </c>
      <c r="I21" s="18" t="str">
        <f>IF(H21&gt;='Set up Report'!$B$46,"A",IF(H21&gt;='Set up Report'!$B$47,"B",IF(H21&lt;'Set up Report'!$B$49,"D","C")))</f>
        <v>A</v>
      </c>
      <c r="J21" s="17">
        <v>1</v>
      </c>
      <c r="K21" s="18" t="str">
        <f>IF(AND(J21='Set up Report'!$C$46),"A",IF(AND(J21&lt;='Set up Report'!$C$47),"B",IF(AND(J21&lt;='Set up Report'!$C$48),"C",IF(AND(J21&gt;'Set up Report'!$C$48),"D"))))</f>
        <v>B</v>
      </c>
      <c r="L21" s="23"/>
      <c r="M21" s="23"/>
      <c r="N21" s="23"/>
      <c r="O21" s="23"/>
      <c r="P21" s="23"/>
      <c r="Q21" s="22"/>
    </row>
    <row r="22" spans="1:17" ht="109" customHeight="1" x14ac:dyDescent="0.2">
      <c r="A22" s="13" t="s">
        <v>83</v>
      </c>
      <c r="B22" s="14" t="s">
        <v>84</v>
      </c>
      <c r="C22" s="14" t="s">
        <v>85</v>
      </c>
      <c r="D22" s="15" t="s">
        <v>138</v>
      </c>
      <c r="E22" s="16" t="s">
        <v>23</v>
      </c>
      <c r="F22" s="16" t="s">
        <v>24</v>
      </c>
      <c r="G22" s="16" t="s">
        <v>23</v>
      </c>
      <c r="H22" s="17">
        <v>99</v>
      </c>
      <c r="I22" s="18" t="str">
        <f>IF(H22&gt;='Set up Report'!$B$46,"A",IF(H22&gt;='Set up Report'!$B$47,"B",IF(H22&lt;'Set up Report'!$B$49,"D","C")))</f>
        <v>A</v>
      </c>
      <c r="J22" s="17">
        <v>1</v>
      </c>
      <c r="K22" s="18" t="str">
        <f>IF(AND(J22='Set up Report'!$C$46),"A",IF(AND(J22&lt;='Set up Report'!$C$47),"B",IF(AND(J22&lt;='Set up Report'!$C$48),"C",IF(AND(J22&gt;'Set up Report'!$C$48),"D"))))</f>
        <v>B</v>
      </c>
      <c r="L22" s="23"/>
      <c r="M22" s="23"/>
      <c r="N22" s="23"/>
      <c r="O22" s="23"/>
      <c r="P22" s="23"/>
      <c r="Q22" s="22"/>
    </row>
    <row r="23" spans="1:17" ht="109" customHeight="1" x14ac:dyDescent="0.2">
      <c r="A23" s="13" t="s">
        <v>86</v>
      </c>
      <c r="B23" s="14" t="s">
        <v>87</v>
      </c>
      <c r="C23" s="14" t="s">
        <v>88</v>
      </c>
      <c r="D23" s="15" t="s">
        <v>139</v>
      </c>
      <c r="E23" s="16" t="s">
        <v>23</v>
      </c>
      <c r="F23" s="16" t="s">
        <v>23</v>
      </c>
      <c r="G23" s="16" t="s">
        <v>24</v>
      </c>
      <c r="H23" s="17">
        <v>99</v>
      </c>
      <c r="I23" s="18" t="str">
        <f>IF(H23&gt;='Set up Report'!$B$46,"A",IF(H23&gt;='Set up Report'!$B$47,"B",IF(H23&lt;'Set up Report'!$B$49,"D","C")))</f>
        <v>A</v>
      </c>
      <c r="J23" s="17">
        <v>1</v>
      </c>
      <c r="K23" s="18" t="str">
        <f>IF(AND(J23='Set up Report'!$C$46),"A",IF(AND(J23&lt;='Set up Report'!$C$47),"B",IF(AND(J23&lt;='Set up Report'!$C$48),"C",IF(AND(J23&gt;'Set up Report'!$C$48),"D"))))</f>
        <v>B</v>
      </c>
      <c r="L23" s="23"/>
      <c r="M23" s="23"/>
      <c r="N23" s="23"/>
      <c r="O23" s="23"/>
      <c r="P23" s="23"/>
      <c r="Q23" s="22"/>
    </row>
    <row r="24" spans="1:17" ht="109" customHeight="1" x14ac:dyDescent="0.2">
      <c r="A24" s="13" t="s">
        <v>89</v>
      </c>
      <c r="B24" s="14" t="s">
        <v>90</v>
      </c>
      <c r="C24" s="14" t="s">
        <v>91</v>
      </c>
      <c r="D24" s="15" t="s">
        <v>140</v>
      </c>
      <c r="E24" s="16" t="s">
        <v>24</v>
      </c>
      <c r="F24" s="16" t="s">
        <v>24</v>
      </c>
      <c r="G24" s="16" t="s">
        <v>23</v>
      </c>
      <c r="H24" s="17">
        <v>99</v>
      </c>
      <c r="I24" s="18" t="str">
        <f>IF(H24&gt;='Set up Report'!$B$46,"A",IF(H24&gt;='Set up Report'!$B$47,"B",IF(H24&lt;'Set up Report'!$B$49,"D","C")))</f>
        <v>A</v>
      </c>
      <c r="J24" s="17">
        <v>1</v>
      </c>
      <c r="K24" s="18" t="str">
        <f>IF(AND(J24='Set up Report'!$C$46),"A",IF(AND(J24&lt;='Set up Report'!$C$47),"B",IF(AND(J24&lt;='Set up Report'!$C$48),"C",IF(AND(J24&gt;'Set up Report'!$C$48),"D"))))</f>
        <v>B</v>
      </c>
      <c r="L24" s="23"/>
      <c r="M24" s="23"/>
      <c r="N24" s="23"/>
      <c r="O24" s="23"/>
      <c r="P24" s="23"/>
      <c r="Q24" s="22"/>
    </row>
    <row r="25" spans="1:17" ht="109" customHeight="1" x14ac:dyDescent="0.2">
      <c r="A25" s="13" t="s">
        <v>92</v>
      </c>
      <c r="B25" s="14" t="s">
        <v>93</v>
      </c>
      <c r="C25" s="14" t="s">
        <v>94</v>
      </c>
      <c r="D25" s="15" t="s">
        <v>141</v>
      </c>
      <c r="E25" s="16" t="s">
        <v>23</v>
      </c>
      <c r="F25" s="16" t="s">
        <v>24</v>
      </c>
      <c r="G25" s="16" t="s">
        <v>24</v>
      </c>
      <c r="H25" s="17">
        <v>99</v>
      </c>
      <c r="I25" s="18" t="str">
        <f>IF(H25&gt;='Set up Report'!$B$46,"A",IF(H25&gt;='Set up Report'!$B$47,"B",IF(H25&lt;'Set up Report'!$B$49,"D","C")))</f>
        <v>A</v>
      </c>
      <c r="J25" s="17">
        <v>1</v>
      </c>
      <c r="K25" s="18" t="str">
        <f>IF(AND(J25='Set up Report'!$C$46),"A",IF(AND(J25&lt;='Set up Report'!$C$47),"B",IF(AND(J25&lt;='Set up Report'!$C$48),"C",IF(AND(J25&gt;'Set up Report'!$C$48),"D"))))</f>
        <v>B</v>
      </c>
      <c r="L25" s="23"/>
      <c r="M25" s="23"/>
      <c r="N25" s="23"/>
      <c r="O25" s="23"/>
      <c r="P25" s="23"/>
      <c r="Q25" s="22"/>
    </row>
    <row r="26" spans="1:17" ht="109" customHeight="1" x14ac:dyDescent="0.2">
      <c r="A26" s="13" t="s">
        <v>95</v>
      </c>
      <c r="B26" s="14" t="s">
        <v>96</v>
      </c>
      <c r="C26" s="14" t="s">
        <v>97</v>
      </c>
      <c r="D26" s="15" t="s">
        <v>142</v>
      </c>
      <c r="E26" s="16" t="s">
        <v>23</v>
      </c>
      <c r="F26" s="16" t="s">
        <v>23</v>
      </c>
      <c r="G26" s="16" t="s">
        <v>23</v>
      </c>
      <c r="H26" s="17">
        <v>99</v>
      </c>
      <c r="I26" s="18" t="str">
        <f>IF(H26&gt;='Set up Report'!$B$46,"A",IF(H26&gt;='Set up Report'!$B$47,"B",IF(H26&lt;'Set up Report'!$B$49,"D","C")))</f>
        <v>A</v>
      </c>
      <c r="J26" s="17">
        <v>1</v>
      </c>
      <c r="K26" s="18" t="str">
        <f>IF(AND(J26='Set up Report'!$C$46),"A",IF(AND(J26&lt;='Set up Report'!$C$47),"B",IF(AND(J26&lt;='Set up Report'!$C$48),"C",IF(AND(J26&gt;'Set up Report'!$C$48),"D"))))</f>
        <v>B</v>
      </c>
      <c r="L26" s="23"/>
      <c r="M26" s="23"/>
      <c r="N26" s="23"/>
      <c r="O26" s="23"/>
      <c r="P26" s="23"/>
      <c r="Q26" s="22"/>
    </row>
    <row r="27" spans="1:17" ht="109" customHeight="1" x14ac:dyDescent="0.2">
      <c r="A27" s="13" t="s">
        <v>98</v>
      </c>
      <c r="B27" s="14" t="s">
        <v>99</v>
      </c>
      <c r="C27" s="14" t="s">
        <v>100</v>
      </c>
      <c r="D27" s="15" t="s">
        <v>143</v>
      </c>
      <c r="E27" s="16" t="s">
        <v>24</v>
      </c>
      <c r="F27" s="16" t="s">
        <v>24</v>
      </c>
      <c r="G27" s="16" t="s">
        <v>24</v>
      </c>
      <c r="H27" s="17">
        <v>99</v>
      </c>
      <c r="I27" s="18" t="str">
        <f>IF(H27&gt;='Set up Report'!$B$46,"A",IF(H27&gt;='Set up Report'!$B$47,"B",IF(H27&lt;'Set up Report'!$B$49,"D","C")))</f>
        <v>A</v>
      </c>
      <c r="J27" s="17">
        <v>1</v>
      </c>
      <c r="K27" s="18" t="str">
        <f>IF(AND(J27='Set up Report'!$C$46),"A",IF(AND(J27&lt;='Set up Report'!$C$47),"B",IF(AND(J27&lt;='Set up Report'!$C$48),"C",IF(AND(J27&gt;'Set up Report'!$C$48),"D"))))</f>
        <v>B</v>
      </c>
      <c r="L27" s="23"/>
      <c r="M27" s="23"/>
      <c r="N27" s="23"/>
      <c r="O27" s="23"/>
      <c r="P27" s="23"/>
      <c r="Q27" s="22"/>
    </row>
    <row r="28" spans="1:17" ht="109" customHeight="1" x14ac:dyDescent="0.2">
      <c r="A28" s="13" t="s">
        <v>101</v>
      </c>
      <c r="B28" s="14" t="s">
        <v>102</v>
      </c>
      <c r="C28" s="14" t="s">
        <v>103</v>
      </c>
      <c r="D28" s="15" t="s">
        <v>144</v>
      </c>
      <c r="E28" s="16" t="s">
        <v>32</v>
      </c>
      <c r="F28" s="16" t="s">
        <v>24</v>
      </c>
      <c r="G28" s="16" t="s">
        <v>24</v>
      </c>
      <c r="H28" s="17">
        <v>99</v>
      </c>
      <c r="I28" s="18" t="str">
        <f>IF(H28&gt;='Set up Report'!$B$46,"A",IF(H28&gt;='Set up Report'!$B$47,"B",IF(H28&lt;'Set up Report'!$B$49,"D","C")))</f>
        <v>A</v>
      </c>
      <c r="J28" s="17">
        <v>1</v>
      </c>
      <c r="K28" s="18" t="str">
        <f>IF(AND(J28='Set up Report'!$C$46),"A",IF(AND(J28&lt;='Set up Report'!$C$47),"B",IF(AND(J28&lt;='Set up Report'!$C$48),"C",IF(AND(J28&gt;'Set up Report'!$C$48),"D"))))</f>
        <v>B</v>
      </c>
      <c r="L28" s="23"/>
      <c r="M28" s="23"/>
      <c r="N28" s="23"/>
      <c r="O28" s="23"/>
      <c r="P28" s="23"/>
      <c r="Q28" s="22"/>
    </row>
    <row r="29" spans="1:17" ht="109" customHeight="1" x14ac:dyDescent="0.2">
      <c r="A29" s="13" t="s">
        <v>104</v>
      </c>
      <c r="B29" s="14" t="s">
        <v>105</v>
      </c>
      <c r="C29" s="14" t="s">
        <v>106</v>
      </c>
      <c r="D29" s="15" t="s">
        <v>145</v>
      </c>
      <c r="E29" s="16" t="s">
        <v>66</v>
      </c>
      <c r="F29" s="16" t="s">
        <v>82</v>
      </c>
      <c r="G29" s="16" t="s">
        <v>32</v>
      </c>
      <c r="H29" s="17">
        <v>99</v>
      </c>
      <c r="I29" s="18" t="str">
        <f>IF(H29&gt;='Set up Report'!$B$46,"A",IF(H29&gt;='Set up Report'!$B$47,"B",IF(H29&lt;'Set up Report'!$B$49,"D","C")))</f>
        <v>A</v>
      </c>
      <c r="J29" s="17">
        <v>1</v>
      </c>
      <c r="K29" s="18" t="str">
        <f>IF(AND(J29='Set up Report'!$C$46),"A",IF(AND(J29&lt;='Set up Report'!$C$47),"B",IF(AND(J29&lt;='Set up Report'!$C$48),"C",IF(AND(J29&gt;'Set up Report'!$C$48),"D"))))</f>
        <v>B</v>
      </c>
      <c r="L29" s="23"/>
      <c r="M29" s="23"/>
      <c r="N29" s="23"/>
      <c r="O29" s="23"/>
      <c r="P29" s="23"/>
      <c r="Q29" s="22"/>
    </row>
    <row r="30" spans="1:17" ht="109" customHeight="1" x14ac:dyDescent="0.2">
      <c r="A30" s="13" t="s">
        <v>107</v>
      </c>
      <c r="B30" s="14" t="s">
        <v>108</v>
      </c>
      <c r="C30" s="14" t="s">
        <v>109</v>
      </c>
      <c r="D30" s="15" t="s">
        <v>146</v>
      </c>
      <c r="E30" s="16" t="s">
        <v>24</v>
      </c>
      <c r="F30" s="16" t="s">
        <v>24</v>
      </c>
      <c r="G30" s="16" t="s">
        <v>23</v>
      </c>
      <c r="H30" s="17">
        <v>99</v>
      </c>
      <c r="I30" s="18" t="str">
        <f>IF(H30&gt;='Set up Report'!$B$46,"A",IF(H30&gt;='Set up Report'!$B$47,"B",IF(H30&lt;'Set up Report'!$B$49,"D","C")))</f>
        <v>A</v>
      </c>
      <c r="J30" s="17">
        <v>1</v>
      </c>
      <c r="K30" s="18" t="str">
        <f>IF(AND(J30='Set up Report'!$C$46),"A",IF(AND(J30&lt;='Set up Report'!$C$47),"B",IF(AND(J30&lt;='Set up Report'!$C$48),"C",IF(AND(J30&gt;'Set up Report'!$C$48),"D"))))</f>
        <v>B</v>
      </c>
      <c r="L30" s="23"/>
      <c r="M30" s="23"/>
      <c r="N30" s="23"/>
      <c r="O30" s="23"/>
      <c r="P30" s="23"/>
      <c r="Q30" s="22"/>
    </row>
    <row r="31" spans="1:17" ht="109" customHeight="1" x14ac:dyDescent="0.2">
      <c r="A31" s="13" t="s">
        <v>110</v>
      </c>
      <c r="B31" s="14" t="s">
        <v>111</v>
      </c>
      <c r="C31" s="14" t="s">
        <v>112</v>
      </c>
      <c r="D31" s="15" t="s">
        <v>147</v>
      </c>
      <c r="E31" s="16" t="s">
        <v>23</v>
      </c>
      <c r="F31" s="16" t="s">
        <v>23</v>
      </c>
      <c r="G31" s="16" t="s">
        <v>23</v>
      </c>
      <c r="H31" s="17">
        <v>99</v>
      </c>
      <c r="I31" s="18" t="str">
        <f>IF(H31&gt;='Set up Report'!$B$46,"A",IF(H31&gt;='Set up Report'!$B$47,"B",IF(H31&lt;'Set up Report'!$B$49,"D","C")))</f>
        <v>A</v>
      </c>
      <c r="J31" s="17">
        <v>1</v>
      </c>
      <c r="K31" s="18" t="str">
        <f>IF(AND(J31='Set up Report'!$C$46),"A",IF(AND(J31&lt;='Set up Report'!$C$47),"B",IF(AND(J31&lt;='Set up Report'!$C$48),"C",IF(AND(J31&gt;'Set up Report'!$C$48),"D"))))</f>
        <v>B</v>
      </c>
      <c r="L31" s="23"/>
      <c r="M31" s="23"/>
      <c r="N31" s="23"/>
      <c r="O31" s="23"/>
      <c r="P31" s="23"/>
      <c r="Q31" s="22"/>
    </row>
    <row r="32" spans="1:17" ht="109" customHeight="1" x14ac:dyDescent="0.2">
      <c r="A32" s="13" t="s">
        <v>113</v>
      </c>
      <c r="B32" s="14" t="s">
        <v>114</v>
      </c>
      <c r="C32" s="14" t="s">
        <v>115</v>
      </c>
      <c r="D32" s="15" t="s">
        <v>148</v>
      </c>
      <c r="E32" s="16" t="s">
        <v>23</v>
      </c>
      <c r="F32" s="16" t="s">
        <v>23</v>
      </c>
      <c r="G32" s="16" t="s">
        <v>23</v>
      </c>
      <c r="H32" s="17">
        <v>99</v>
      </c>
      <c r="I32" s="18" t="str">
        <f>IF(H32&gt;='Set up Report'!$B$46,"A",IF(H32&gt;='Set up Report'!$B$47,"B",IF(H32&lt;'Set up Report'!$B$49,"D","C")))</f>
        <v>A</v>
      </c>
      <c r="J32" s="17">
        <v>1</v>
      </c>
      <c r="K32" s="18" t="str">
        <f>IF(AND(J32='Set up Report'!$C$46),"A",IF(AND(J32&lt;='Set up Report'!$C$47),"B",IF(AND(J32&lt;='Set up Report'!$C$48),"C",IF(AND(J32&gt;'Set up Report'!$C$48),"D"))))</f>
        <v>B</v>
      </c>
      <c r="L32" s="23"/>
      <c r="M32" s="23"/>
      <c r="N32" s="23"/>
      <c r="O32" s="23"/>
      <c r="P32" s="23"/>
      <c r="Q32" s="22"/>
    </row>
    <row r="33" spans="1:17" ht="109" customHeight="1" x14ac:dyDescent="0.2">
      <c r="A33" s="13" t="s">
        <v>116</v>
      </c>
      <c r="B33" s="24" t="s">
        <v>117</v>
      </c>
      <c r="C33" s="24" t="s">
        <v>118</v>
      </c>
      <c r="D33" s="15" t="s">
        <v>149</v>
      </c>
      <c r="E33" s="25" t="s">
        <v>24</v>
      </c>
      <c r="F33" s="25" t="s">
        <v>24</v>
      </c>
      <c r="G33" s="25" t="s">
        <v>24</v>
      </c>
      <c r="H33" s="17">
        <v>99</v>
      </c>
      <c r="I33" s="18" t="str">
        <f>IF(H33&gt;='Set up Report'!$B$46,"A",IF(H33&gt;='Set up Report'!$B$47,"B",IF(H33&lt;'Set up Report'!$B$49,"D","C")))</f>
        <v>A</v>
      </c>
      <c r="J33" s="17">
        <v>1</v>
      </c>
      <c r="K33" s="18" t="str">
        <f>IF(AND(J33='Set up Report'!$C$46),"A",IF(AND(J33&lt;='Set up Report'!$C$47),"B",IF(AND(J33&lt;='Set up Report'!$C$48),"C",IF(AND(J33&gt;'Set up Report'!$C$48),"D"))))</f>
        <v>B</v>
      </c>
      <c r="L33" s="23"/>
      <c r="M33" s="23"/>
      <c r="N33" s="23"/>
      <c r="O33" s="23"/>
      <c r="P33" s="23"/>
      <c r="Q33" s="26"/>
    </row>
    <row r="34" spans="1:17" ht="109" customHeight="1" x14ac:dyDescent="0.2">
      <c r="A34" s="27"/>
      <c r="B34" s="28"/>
      <c r="C34" s="28"/>
      <c r="D34" s="29"/>
      <c r="E34" s="30"/>
      <c r="F34" s="30"/>
      <c r="G34" s="30"/>
      <c r="H34" s="31"/>
      <c r="I34" s="32"/>
      <c r="J34" s="31"/>
      <c r="K34" s="32"/>
      <c r="L34" s="33"/>
      <c r="M34" s="33"/>
      <c r="N34" s="33"/>
      <c r="O34" s="33"/>
      <c r="P34" s="33"/>
      <c r="Q34" s="34"/>
    </row>
  </sheetData>
  <mergeCells count="2">
    <mergeCell ref="B1:C1"/>
    <mergeCell ref="E1:G1"/>
  </mergeCells>
  <conditionalFormatting sqref="B3:C32">
    <cfRule type="expression" dxfId="220" priority="206">
      <formula>$R3="y"</formula>
    </cfRule>
  </conditionalFormatting>
  <conditionalFormatting sqref="B33:C33">
    <cfRule type="expression" dxfId="219" priority="207">
      <formula>$K33="y"</formula>
    </cfRule>
  </conditionalFormatting>
  <conditionalFormatting sqref="E3:G3">
    <cfRule type="beginsWith" dxfId="218" priority="1" operator="beginsWith" text="KS">
      <formula>LEFT(E3,LEN("KS"))="KS"</formula>
    </cfRule>
    <cfRule type="containsText" dxfId="217" priority="3" operator="containsText" text="O1">
      <formula>NOT(ISERROR(SEARCH("O1",E3)))</formula>
    </cfRule>
    <cfRule type="cellIs" dxfId="216" priority="5" operator="equal">
      <formula>"O"</formula>
    </cfRule>
    <cfRule type="beginsWith" dxfId="215" priority="6" operator="beginsWith" text="gdt">
      <formula>LEFT(E3,LEN("gdt"))="gdt"</formula>
    </cfRule>
    <cfRule type="containsText" dxfId="214" priority="7" operator="containsText" text="Y">
      <formula>NOT(ISERROR(SEARCH("Y",E3)))</formula>
    </cfRule>
    <cfRule type="beginsWith" dxfId="213" priority="8" operator="beginsWith" text="KS">
      <formula>LEFT(E3,LEN("KS"))="KS"</formula>
    </cfRule>
    <cfRule type="endsWith" dxfId="212" priority="9" operator="endsWith" text="K">
      <formula>RIGHT(E3,LEN("K"))="K"</formula>
    </cfRule>
    <cfRule type="containsBlanks" dxfId="211" priority="10" stopIfTrue="1">
      <formula>LEN(TRIM(E3))=0</formula>
    </cfRule>
    <cfRule type="cellIs" dxfId="210" priority="11" operator="equal">
      <formula>"O"</formula>
    </cfRule>
    <cfRule type="beginsWith" dxfId="209" priority="12" operator="beginsWith" text="gdt">
      <formula>LEFT(E3,LEN("gdt"))="gdt"</formula>
    </cfRule>
    <cfRule type="containsText" dxfId="208" priority="13" operator="containsText" text="Y">
      <formula>NOT(ISERROR(SEARCH("Y",E3)))</formula>
    </cfRule>
    <cfRule type="beginsWith" dxfId="207" priority="14" stopIfTrue="1" operator="beginsWith" text="A">
      <formula>LEFT(E3,LEN("A"))="A"</formula>
    </cfRule>
    <cfRule type="beginsWith" dxfId="206" priority="15" operator="beginsWith" text="KS">
      <formula>LEFT(E3,LEN("KS"))="KS"</formula>
    </cfRule>
    <cfRule type="endsWith" dxfId="205" priority="16" operator="endsWith" text="K">
      <formula>RIGHT(E3,LEN("K"))="K"</formula>
    </cfRule>
    <cfRule type="containsText" dxfId="204" priority="17" operator="containsText" text="O1">
      <formula>NOT(ISERROR(SEARCH("O1",E3)))</formula>
    </cfRule>
    <cfRule type="beginsWith" dxfId="203" priority="18" stopIfTrue="1" operator="beginsWith" text="A">
      <formula>LEFT(E3,LEN("A"))="A"</formula>
    </cfRule>
    <cfRule type="cellIs" dxfId="202" priority="19" operator="equal">
      <formula>"O"</formula>
    </cfRule>
    <cfRule type="beginsWith" dxfId="201" priority="20" operator="beginsWith" text="gdt">
      <formula>LEFT(E3,LEN("gdt"))="gdt"</formula>
    </cfRule>
    <cfRule type="containsText" dxfId="200" priority="21" operator="containsText" text="Y">
      <formula>NOT(ISERROR(SEARCH("Y",E3)))</formula>
    </cfRule>
    <cfRule type="beginsWith" dxfId="199" priority="22" operator="beginsWith" text="KS">
      <formula>LEFT(E3,LEN("KS"))="KS"</formula>
    </cfRule>
    <cfRule type="endsWith" dxfId="198" priority="23" operator="endsWith" text="K">
      <formula>RIGHT(E3,LEN("K"))="K"</formula>
    </cfRule>
    <cfRule type="containsBlanks" dxfId="197" priority="24" stopIfTrue="1">
      <formula>LEN(TRIM(E3))=0</formula>
    </cfRule>
    <cfRule type="cellIs" dxfId="196" priority="25" operator="equal">
      <formula>"O"</formula>
    </cfRule>
    <cfRule type="beginsWith" dxfId="195" priority="26" operator="beginsWith" text="gdt">
      <formula>LEFT(E3,LEN("gdt"))="gdt"</formula>
    </cfRule>
    <cfRule type="containsText" dxfId="194" priority="27" operator="containsText" text="Y">
      <formula>NOT(ISERROR(SEARCH("Y",E3)))</formula>
    </cfRule>
    <cfRule type="beginsWith" dxfId="193" priority="28" stopIfTrue="1" operator="beginsWith" text="A">
      <formula>LEFT(E3,LEN("A"))="A"</formula>
    </cfRule>
    <cfRule type="cellIs" dxfId="192" priority="29" operator="equal">
      <formula>"O"</formula>
    </cfRule>
    <cfRule type="beginsWith" dxfId="191" priority="30" operator="beginsWith" text="gdt">
      <formula>LEFT(E3,LEN("gdt"))="gdt"</formula>
    </cfRule>
    <cfRule type="containsText" dxfId="190" priority="31" operator="containsText" text="Y">
      <formula>NOT(ISERROR(SEARCH("Y",E3)))</formula>
    </cfRule>
    <cfRule type="beginsWith" dxfId="189" priority="32" operator="beginsWith" text="KS">
      <formula>LEFT(E3,LEN("KS"))="KS"</formula>
    </cfRule>
    <cfRule type="endsWith" dxfId="188" priority="33" operator="endsWith" text="K">
      <formula>RIGHT(E3,LEN("K"))="K"</formula>
    </cfRule>
    <cfRule type="beginsWith" dxfId="187" priority="34" operator="beginsWith" text="KS">
      <formula>LEFT(E3,LEN("KS"))="KS"</formula>
    </cfRule>
    <cfRule type="endsWith" dxfId="186" priority="35" operator="endsWith" text="K">
      <formula>RIGHT(E3,LEN("K"))="K"</formula>
    </cfRule>
    <cfRule type="containsText" dxfId="185" priority="36" operator="containsText" text="O1">
      <formula>NOT(ISERROR(SEARCH("O1",E3)))</formula>
    </cfRule>
    <cfRule type="beginsWith" dxfId="184" priority="37" stopIfTrue="1" operator="beginsWith" text="A">
      <formula>LEFT(E3,LEN("A"))="A"</formula>
    </cfRule>
    <cfRule type="cellIs" dxfId="183" priority="38" operator="equal">
      <formula>"O"</formula>
    </cfRule>
    <cfRule type="beginsWith" dxfId="182" priority="39" operator="beginsWith" text="gdt">
      <formula>LEFT(E3,LEN("gdt"))="gdt"</formula>
    </cfRule>
    <cfRule type="containsText" dxfId="181" priority="40" operator="containsText" text="Y">
      <formula>NOT(ISERROR(SEARCH("Y",E3)))</formula>
    </cfRule>
    <cfRule type="beginsWith" dxfId="180" priority="41" operator="beginsWith" text="KS">
      <formula>LEFT(E3,LEN("KS"))="KS"</formula>
    </cfRule>
    <cfRule type="endsWith" dxfId="179" priority="42" operator="endsWith" text="K">
      <formula>RIGHT(E3,LEN("K"))="K"</formula>
    </cfRule>
    <cfRule type="containsBlanks" dxfId="178" priority="43" stopIfTrue="1">
      <formula>LEN(TRIM(E3))=0</formula>
    </cfRule>
    <cfRule type="cellIs" dxfId="177" priority="44" operator="equal">
      <formula>"O"</formula>
    </cfRule>
    <cfRule type="beginsWith" dxfId="176" priority="45" operator="beginsWith" text="gdt">
      <formula>LEFT(E3,LEN("gdt"))="gdt"</formula>
    </cfRule>
    <cfRule type="containsText" dxfId="175" priority="46" operator="containsText" text="Y">
      <formula>NOT(ISERROR(SEARCH("Y",E3)))</formula>
    </cfRule>
    <cfRule type="beginsWith" dxfId="174" priority="47" stopIfTrue="1" operator="beginsWith" text="A">
      <formula>LEFT(E3,LEN("A"))="A"</formula>
    </cfRule>
    <cfRule type="beginsWith" dxfId="173" priority="48" operator="beginsWith" text="KS">
      <formula>LEFT(E3,LEN("KS"))="KS"</formula>
    </cfRule>
    <cfRule type="endsWith" dxfId="172" priority="49" operator="endsWith" text="K">
      <formula>RIGHT(E3,LEN("K"))="K"</formula>
    </cfRule>
    <cfRule type="containsText" dxfId="171" priority="50" operator="containsText" text="O1">
      <formula>NOT(ISERROR(SEARCH("O1",E3)))</formula>
    </cfRule>
    <cfRule type="beginsWith" dxfId="170" priority="51" stopIfTrue="1" operator="beginsWith" text="A">
      <formula>LEFT(E3,LEN("A"))="A"</formula>
    </cfRule>
    <cfRule type="cellIs" dxfId="169" priority="52" operator="equal">
      <formula>"O"</formula>
    </cfRule>
    <cfRule type="beginsWith" dxfId="168" priority="53" operator="beginsWith" text="gdt">
      <formula>LEFT(E3,LEN("gdt"))="gdt"</formula>
    </cfRule>
    <cfRule type="containsText" dxfId="167" priority="54" operator="containsText" text="Y">
      <formula>NOT(ISERROR(SEARCH("Y",E3)))</formula>
    </cfRule>
    <cfRule type="beginsWith" dxfId="166" priority="55" operator="beginsWith" text="KS">
      <formula>LEFT(E3,LEN("KS"))="KS"</formula>
    </cfRule>
    <cfRule type="endsWith" dxfId="165" priority="56" operator="endsWith" text="K">
      <formula>RIGHT(E3,LEN("K"))="K"</formula>
    </cfRule>
    <cfRule type="containsBlanks" dxfId="164" priority="57" stopIfTrue="1">
      <formula>LEN(TRIM(E3))=0</formula>
    </cfRule>
    <cfRule type="cellIs" dxfId="163" priority="58" operator="equal">
      <formula>"O"</formula>
    </cfRule>
    <cfRule type="beginsWith" dxfId="162" priority="59" operator="beginsWith" text="gdt">
      <formula>LEFT(E3,LEN("gdt"))="gdt"</formula>
    </cfRule>
    <cfRule type="containsText" dxfId="161" priority="60" operator="containsText" text="Y">
      <formula>NOT(ISERROR(SEARCH("Y",E3)))</formula>
    </cfRule>
    <cfRule type="beginsWith" dxfId="160" priority="61" stopIfTrue="1" operator="beginsWith" text="A">
      <formula>LEFT(E3,LEN("A"))="A"</formula>
    </cfRule>
    <cfRule type="cellIs" dxfId="159" priority="62" operator="equal">
      <formula>"O"</formula>
    </cfRule>
    <cfRule type="beginsWith" dxfId="158" priority="63" operator="beginsWith" text="gdt">
      <formula>LEFT(E3,LEN("gdt"))="gdt"</formula>
    </cfRule>
    <cfRule type="containsText" dxfId="157" priority="64" operator="containsText" text="Y">
      <formula>NOT(ISERROR(SEARCH("Y",E3)))</formula>
    </cfRule>
    <cfRule type="beginsWith" dxfId="156" priority="65" operator="beginsWith" text="KS">
      <formula>LEFT(E3,LEN("KS"))="KS"</formula>
    </cfRule>
    <cfRule type="endsWith" dxfId="155" priority="66" operator="endsWith" text="K">
      <formula>RIGHT(E3,LEN("K"))="K"</formula>
    </cfRule>
    <cfRule type="beginsWith" dxfId="154" priority="67" operator="beginsWith" text="KS">
      <formula>LEFT(E3,LEN("KS"))="KS"</formula>
    </cfRule>
    <cfRule type="endsWith" dxfId="153" priority="68" operator="endsWith" text="K">
      <formula>RIGHT(E3,LEN("K"))="K"</formula>
    </cfRule>
    <cfRule type="containsText" dxfId="152" priority="69" operator="containsText" text="O1">
      <formula>NOT(ISERROR(SEARCH("O1",E3)))</formula>
    </cfRule>
    <cfRule type="beginsWith" dxfId="151" priority="70" stopIfTrue="1" operator="beginsWith" text="A">
      <formula>LEFT(E3,LEN("A"))="A"</formula>
    </cfRule>
    <cfRule type="cellIs" dxfId="150" priority="71" operator="equal">
      <formula>"O"</formula>
    </cfRule>
    <cfRule type="beginsWith" dxfId="149" priority="72" operator="beginsWith" text="gdt">
      <formula>LEFT(E3,LEN("gdt"))="gdt"</formula>
    </cfRule>
    <cfRule type="containsText" dxfId="148" priority="73" operator="containsText" text="Y">
      <formula>NOT(ISERROR(SEARCH("Y",E3)))</formula>
    </cfRule>
    <cfRule type="beginsWith" dxfId="147" priority="74" operator="beginsWith" text="KS">
      <formula>LEFT(E3,LEN("KS"))="KS"</formula>
    </cfRule>
    <cfRule type="endsWith" dxfId="146" priority="75" operator="endsWith" text="K">
      <formula>RIGHT(E3,LEN("K"))="K"</formula>
    </cfRule>
    <cfRule type="containsBlanks" dxfId="145" priority="76" stopIfTrue="1">
      <formula>LEN(TRIM(E3))=0</formula>
    </cfRule>
    <cfRule type="cellIs" dxfId="144" priority="77" operator="equal">
      <formula>"O"</formula>
    </cfRule>
    <cfRule type="beginsWith" dxfId="143" priority="78" operator="beginsWith" text="gdt">
      <formula>LEFT(E3,LEN("gdt"))="gdt"</formula>
    </cfRule>
    <cfRule type="containsText" dxfId="142" priority="79" operator="containsText" text="Y">
      <formula>NOT(ISERROR(SEARCH("Y",E3)))</formula>
    </cfRule>
    <cfRule type="beginsWith" dxfId="141" priority="80" stopIfTrue="1" operator="beginsWith" text="A">
      <formula>LEFT(E3,LEN("A"))="A"</formula>
    </cfRule>
    <cfRule type="beginsWith" dxfId="140" priority="81" operator="beginsWith" text="KS">
      <formula>LEFT(E3,LEN("KS"))="KS"</formula>
    </cfRule>
    <cfRule type="endsWith" dxfId="139" priority="82" operator="endsWith" text="K">
      <formula>RIGHT(E3,LEN("K"))="K"</formula>
    </cfRule>
    <cfRule type="containsText" dxfId="138" priority="83" operator="containsText" text="O1">
      <formula>NOT(ISERROR(SEARCH("O1",E3)))</formula>
    </cfRule>
    <cfRule type="beginsWith" dxfId="137" priority="84" stopIfTrue="1" operator="beginsWith" text="A">
      <formula>LEFT(E3,LEN("A"))="A"</formula>
    </cfRule>
    <cfRule type="cellIs" dxfId="136" priority="85" operator="equal">
      <formula>"O"</formula>
    </cfRule>
    <cfRule type="beginsWith" dxfId="135" priority="86" operator="beginsWith" text="gdt">
      <formula>LEFT(E3,LEN("gdt"))="gdt"</formula>
    </cfRule>
    <cfRule type="containsText" dxfId="134" priority="87" operator="containsText" text="Y">
      <formula>NOT(ISERROR(SEARCH("Y",E3)))</formula>
    </cfRule>
    <cfRule type="beginsWith" dxfId="133" priority="88" operator="beginsWith" text="KS">
      <formula>LEFT(E3,LEN("KS"))="KS"</formula>
    </cfRule>
    <cfRule type="endsWith" dxfId="132" priority="89" operator="endsWith" text="K">
      <formula>RIGHT(E3,LEN("K"))="K"</formula>
    </cfRule>
    <cfRule type="containsBlanks" dxfId="131" priority="90" stopIfTrue="1">
      <formula>LEN(TRIM(E3))=0</formula>
    </cfRule>
    <cfRule type="cellIs" dxfId="130" priority="91" operator="equal">
      <formula>"O"</formula>
    </cfRule>
    <cfRule type="beginsWith" dxfId="129" priority="92" operator="beginsWith" text="gdt">
      <formula>LEFT(E3,LEN("gdt"))="gdt"</formula>
    </cfRule>
    <cfRule type="containsText" dxfId="128" priority="93" operator="containsText" text="Y">
      <formula>NOT(ISERROR(SEARCH("Y",E3)))</formula>
    </cfRule>
    <cfRule type="beginsWith" dxfId="127" priority="94" stopIfTrue="1" operator="beginsWith" text="A">
      <formula>LEFT(E3,LEN("A"))="A"</formula>
    </cfRule>
    <cfRule type="cellIs" dxfId="126" priority="95" operator="equal">
      <formula>"O"</formula>
    </cfRule>
    <cfRule type="beginsWith" dxfId="125" priority="96" operator="beginsWith" text="gdt">
      <formula>LEFT(E3,LEN("gdt"))="gdt"</formula>
    </cfRule>
    <cfRule type="containsText" dxfId="124" priority="97" operator="containsText" text="Y">
      <formula>NOT(ISERROR(SEARCH("Y",E3)))</formula>
    </cfRule>
    <cfRule type="endsWith" dxfId="123" priority="2" operator="endsWith" text="K">
      <formula>RIGHT(E3,LEN("K"))="K"</formula>
    </cfRule>
    <cfRule type="beginsWith" dxfId="122" priority="4" stopIfTrue="1" operator="beginsWith" text="A">
      <formula>LEFT(E3,LEN("A"))="A"</formula>
    </cfRule>
  </conditionalFormatting>
  <conditionalFormatting sqref="E3:G32">
    <cfRule type="endsWith" dxfId="121" priority="99" operator="endsWith" text="K">
      <formula>RIGHT(E3,LEN("K"))="K"</formula>
    </cfRule>
    <cfRule type="beginsWith" dxfId="120" priority="98" operator="beginsWith" text="KS">
      <formula>LEFT(E3,LEN("KS"))="KS"</formula>
    </cfRule>
    <cfRule type="containsText" dxfId="119" priority="205" operator="containsText" text="M">
      <formula>NOT(ISERROR(SEARCH("M",E3)))</formula>
    </cfRule>
    <cfRule type="containsText" dxfId="118" priority="203" operator="containsText" text="O2">
      <formula>NOT(ISERROR(SEARCH("O2",E3)))</formula>
    </cfRule>
    <cfRule type="containsText" dxfId="117" priority="200" operator="containsText" text="Y">
      <formula>NOT(ISERROR(SEARCH("Y",E3)))</formula>
    </cfRule>
    <cfRule type="beginsWith" dxfId="116" priority="199" operator="beginsWith" text="gdt">
      <formula>LEFT(E3,LEN("gdt"))="gdt"</formula>
    </cfRule>
    <cfRule type="cellIs" dxfId="115" priority="198" operator="equal">
      <formula>"O"</formula>
    </cfRule>
    <cfRule type="beginsWith" dxfId="114" priority="197" stopIfTrue="1" operator="beginsWith" text="A">
      <formula>LEFT(E3,LEN("A"))="A"</formula>
    </cfRule>
  </conditionalFormatting>
  <conditionalFormatting sqref="E3:G34">
    <cfRule type="containsText" dxfId="113" priority="204" operator="containsText" text="O1">
      <formula>NOT(ISERROR(SEARCH("O1",E3)))</formula>
    </cfRule>
    <cfRule type="endsWith" dxfId="112" priority="202" operator="endsWith" text="K">
      <formula>RIGHT(E3,LEN("K"))="K"</formula>
    </cfRule>
    <cfRule type="beginsWith" dxfId="111" priority="201" operator="beginsWith" text="KS">
      <formula>LEFT(E3,LEN("KS"))="KS"</formula>
    </cfRule>
  </conditionalFormatting>
  <conditionalFormatting sqref="E4:G32">
    <cfRule type="beginsWith" dxfId="110" priority="111" stopIfTrue="1" operator="beginsWith" text="A">
      <formula>LEFT(E4,LEN("A"))="A"</formula>
    </cfRule>
    <cfRule type="containsText" dxfId="109" priority="100" operator="containsText" text="O1">
      <formula>NOT(ISERROR(SEARCH("O1",E4)))</formula>
    </cfRule>
    <cfRule type="endsWith" dxfId="108" priority="113" operator="endsWith" text="K">
      <formula>RIGHT(E4,LEN("K"))="K"</formula>
    </cfRule>
    <cfRule type="containsText" dxfId="107" priority="114" operator="containsText" text="O1">
      <formula>NOT(ISERROR(SEARCH("O1",E4)))</formula>
    </cfRule>
    <cfRule type="beginsWith" dxfId="106" priority="115" stopIfTrue="1" operator="beginsWith" text="A">
      <formula>LEFT(E4,LEN("A"))="A"</formula>
    </cfRule>
    <cfRule type="cellIs" dxfId="105" priority="116" operator="equal">
      <formula>"O"</formula>
    </cfRule>
    <cfRule type="beginsWith" dxfId="104" priority="117" operator="beginsWith" text="gdt">
      <formula>LEFT(E4,LEN("gdt"))="gdt"</formula>
    </cfRule>
    <cfRule type="containsText" dxfId="103" priority="118" operator="containsText" text="Y">
      <formula>NOT(ISERROR(SEARCH("Y",E4)))</formula>
    </cfRule>
    <cfRule type="beginsWith" dxfId="102" priority="119" operator="beginsWith" text="KS">
      <formula>LEFT(E4,LEN("KS"))="KS"</formula>
    </cfRule>
    <cfRule type="endsWith" dxfId="101" priority="120" operator="endsWith" text="K">
      <formula>RIGHT(E4,LEN("K"))="K"</formula>
    </cfRule>
    <cfRule type="containsBlanks" dxfId="100" priority="121" stopIfTrue="1">
      <formula>LEN(TRIM(E4))=0</formula>
    </cfRule>
    <cfRule type="cellIs" dxfId="99" priority="122" operator="equal">
      <formula>"O"</formula>
    </cfRule>
    <cfRule type="beginsWith" dxfId="98" priority="123" operator="beginsWith" text="gdt">
      <formula>LEFT(E4,LEN("gdt"))="gdt"</formula>
    </cfRule>
    <cfRule type="containsText" dxfId="97" priority="124" operator="containsText" text="Y">
      <formula>NOT(ISERROR(SEARCH("Y",E4)))</formula>
    </cfRule>
    <cfRule type="beginsWith" dxfId="96" priority="125" stopIfTrue="1" operator="beginsWith" text="A">
      <formula>LEFT(E4,LEN("A"))="A"</formula>
    </cfRule>
    <cfRule type="cellIs" dxfId="95" priority="126" operator="equal">
      <formula>"O"</formula>
    </cfRule>
    <cfRule type="beginsWith" dxfId="94" priority="127" operator="beginsWith" text="gdt">
      <formula>LEFT(E4,LEN("gdt"))="gdt"</formula>
    </cfRule>
    <cfRule type="containsText" dxfId="93" priority="128" operator="containsText" text="Y">
      <formula>NOT(ISERROR(SEARCH("Y",E4)))</formula>
    </cfRule>
    <cfRule type="beginsWith" dxfId="92" priority="129" operator="beginsWith" text="KS">
      <formula>LEFT(E4,LEN("KS"))="KS"</formula>
    </cfRule>
    <cfRule type="endsWith" dxfId="91" priority="130" operator="endsWith" text="K">
      <formula>RIGHT(E4,LEN("K"))="K"</formula>
    </cfRule>
    <cfRule type="beginsWith" dxfId="90" priority="131" operator="beginsWith" text="KS">
      <formula>LEFT(E4,LEN("KS"))="KS"</formula>
    </cfRule>
    <cfRule type="endsWith" dxfId="89" priority="132" operator="endsWith" text="K">
      <formula>RIGHT(E4,LEN("K"))="K"</formula>
    </cfRule>
    <cfRule type="containsText" dxfId="88" priority="133" operator="containsText" text="O1">
      <formula>NOT(ISERROR(SEARCH("O1",E4)))</formula>
    </cfRule>
    <cfRule type="beginsWith" dxfId="87" priority="134" stopIfTrue="1" operator="beginsWith" text="A">
      <formula>LEFT(E4,LEN("A"))="A"</formula>
    </cfRule>
    <cfRule type="cellIs" dxfId="86" priority="135" operator="equal">
      <formula>"O"</formula>
    </cfRule>
    <cfRule type="beginsWith" dxfId="85" priority="136" operator="beginsWith" text="gdt">
      <formula>LEFT(E4,LEN("gdt"))="gdt"</formula>
    </cfRule>
    <cfRule type="containsText" dxfId="84" priority="137" operator="containsText" text="Y">
      <formula>NOT(ISERROR(SEARCH("Y",E4)))</formula>
    </cfRule>
    <cfRule type="beginsWith" dxfId="83" priority="138" operator="beginsWith" text="KS">
      <formula>LEFT(E4,LEN("KS"))="KS"</formula>
    </cfRule>
    <cfRule type="endsWith" dxfId="82" priority="139" operator="endsWith" text="K">
      <formula>RIGHT(E4,LEN("K"))="K"</formula>
    </cfRule>
    <cfRule type="containsBlanks" dxfId="81" priority="140" stopIfTrue="1">
      <formula>LEN(TRIM(E4))=0</formula>
    </cfRule>
    <cfRule type="cellIs" dxfId="80" priority="141" operator="equal">
      <formula>"O"</formula>
    </cfRule>
    <cfRule type="beginsWith" dxfId="79" priority="142" operator="beginsWith" text="gdt">
      <formula>LEFT(E4,LEN("gdt"))="gdt"</formula>
    </cfRule>
    <cfRule type="containsText" dxfId="78" priority="143" operator="containsText" text="Y">
      <formula>NOT(ISERROR(SEARCH("Y",E4)))</formula>
    </cfRule>
    <cfRule type="beginsWith" dxfId="77" priority="144" stopIfTrue="1" operator="beginsWith" text="A">
      <formula>LEFT(E4,LEN("A"))="A"</formula>
    </cfRule>
    <cfRule type="beginsWith" dxfId="76" priority="145" operator="beginsWith" text="KS">
      <formula>LEFT(E4,LEN("KS"))="KS"</formula>
    </cfRule>
    <cfRule type="endsWith" dxfId="75" priority="146" operator="endsWith" text="K">
      <formula>RIGHT(E4,LEN("K"))="K"</formula>
    </cfRule>
    <cfRule type="containsText" dxfId="74" priority="147" operator="containsText" text="O1">
      <formula>NOT(ISERROR(SEARCH("O1",E4)))</formula>
    </cfRule>
    <cfRule type="beginsWith" dxfId="73" priority="148" stopIfTrue="1" operator="beginsWith" text="A">
      <formula>LEFT(E4,LEN("A"))="A"</formula>
    </cfRule>
    <cfRule type="cellIs" dxfId="72" priority="149" operator="equal">
      <formula>"O"</formula>
    </cfRule>
    <cfRule type="beginsWith" dxfId="71" priority="150" operator="beginsWith" text="gdt">
      <formula>LEFT(E4,LEN("gdt"))="gdt"</formula>
    </cfRule>
    <cfRule type="containsText" dxfId="70" priority="151" operator="containsText" text="Y">
      <formula>NOT(ISERROR(SEARCH("Y",E4)))</formula>
    </cfRule>
    <cfRule type="beginsWith" dxfId="69" priority="152" operator="beginsWith" text="KS">
      <formula>LEFT(E4,LEN("KS"))="KS"</formula>
    </cfRule>
    <cfRule type="endsWith" dxfId="68" priority="153" operator="endsWith" text="K">
      <formula>RIGHT(E4,LEN("K"))="K"</formula>
    </cfRule>
    <cfRule type="containsBlanks" dxfId="67" priority="154" stopIfTrue="1">
      <formula>LEN(TRIM(E4))=0</formula>
    </cfRule>
    <cfRule type="cellIs" dxfId="66" priority="155" operator="equal">
      <formula>"O"</formula>
    </cfRule>
    <cfRule type="beginsWith" dxfId="65" priority="156" operator="beginsWith" text="gdt">
      <formula>LEFT(E4,LEN("gdt"))="gdt"</formula>
    </cfRule>
    <cfRule type="containsText" dxfId="64" priority="157" operator="containsText" text="Y">
      <formula>NOT(ISERROR(SEARCH("Y",E4)))</formula>
    </cfRule>
    <cfRule type="beginsWith" dxfId="63" priority="158" stopIfTrue="1" operator="beginsWith" text="A">
      <formula>LEFT(E4,LEN("A"))="A"</formula>
    </cfRule>
    <cfRule type="cellIs" dxfId="62" priority="159" operator="equal">
      <formula>"O"</formula>
    </cfRule>
    <cfRule type="beginsWith" dxfId="61" priority="160" operator="beginsWith" text="gdt">
      <formula>LEFT(E4,LEN("gdt"))="gdt"</formula>
    </cfRule>
    <cfRule type="containsText" dxfId="60" priority="161" operator="containsText" text="Y">
      <formula>NOT(ISERROR(SEARCH("Y",E4)))</formula>
    </cfRule>
    <cfRule type="beginsWith" dxfId="59" priority="162" operator="beginsWith" text="KS">
      <formula>LEFT(E4,LEN("KS"))="KS"</formula>
    </cfRule>
    <cfRule type="endsWith" dxfId="58" priority="163" operator="endsWith" text="K">
      <formula>RIGHT(E4,LEN("K"))="K"</formula>
    </cfRule>
    <cfRule type="beginsWith" dxfId="57" priority="164" operator="beginsWith" text="KS">
      <formula>LEFT(E4,LEN("KS"))="KS"</formula>
    </cfRule>
    <cfRule type="endsWith" dxfId="56" priority="165" operator="endsWith" text="K">
      <formula>RIGHT(E4,LEN("K"))="K"</formula>
    </cfRule>
    <cfRule type="containsText" dxfId="55" priority="166" operator="containsText" text="O1">
      <formula>NOT(ISERROR(SEARCH("O1",E4)))</formula>
    </cfRule>
    <cfRule type="beginsWith" dxfId="54" priority="167" stopIfTrue="1" operator="beginsWith" text="A">
      <formula>LEFT(E4,LEN("A"))="A"</formula>
    </cfRule>
    <cfRule type="cellIs" dxfId="53" priority="168" operator="equal">
      <formula>"O"</formula>
    </cfRule>
    <cfRule type="beginsWith" dxfId="52" priority="169" operator="beginsWith" text="gdt">
      <formula>LEFT(E4,LEN("gdt"))="gdt"</formula>
    </cfRule>
    <cfRule type="containsText" dxfId="51" priority="170" operator="containsText" text="Y">
      <formula>NOT(ISERROR(SEARCH("Y",E4)))</formula>
    </cfRule>
    <cfRule type="beginsWith" dxfId="50" priority="171" operator="beginsWith" text="KS">
      <formula>LEFT(E4,LEN("KS"))="KS"</formula>
    </cfRule>
    <cfRule type="endsWith" dxfId="49" priority="172" operator="endsWith" text="K">
      <formula>RIGHT(E4,LEN("K"))="K"</formula>
    </cfRule>
    <cfRule type="containsBlanks" dxfId="48" priority="173" stopIfTrue="1">
      <formula>LEN(TRIM(E4))=0</formula>
    </cfRule>
    <cfRule type="cellIs" dxfId="47" priority="174" operator="equal">
      <formula>"O"</formula>
    </cfRule>
    <cfRule type="beginsWith" dxfId="46" priority="175" operator="beginsWith" text="gdt">
      <formula>LEFT(E4,LEN("gdt"))="gdt"</formula>
    </cfRule>
    <cfRule type="containsText" dxfId="45" priority="176" operator="containsText" text="Y">
      <formula>NOT(ISERROR(SEARCH("Y",E4)))</formula>
    </cfRule>
    <cfRule type="beginsWith" dxfId="44" priority="177" stopIfTrue="1" operator="beginsWith" text="A">
      <formula>LEFT(E4,LEN("A"))="A"</formula>
    </cfRule>
    <cfRule type="beginsWith" dxfId="43" priority="178" operator="beginsWith" text="KS">
      <formula>LEFT(E4,LEN("KS"))="KS"</formula>
    </cfRule>
    <cfRule type="endsWith" dxfId="42" priority="179" operator="endsWith" text="K">
      <formula>RIGHT(E4,LEN("K"))="K"</formula>
    </cfRule>
    <cfRule type="containsText" dxfId="41" priority="180" operator="containsText" text="O1">
      <formula>NOT(ISERROR(SEARCH("O1",E4)))</formula>
    </cfRule>
    <cfRule type="beginsWith" dxfId="40" priority="181" stopIfTrue="1" operator="beginsWith" text="A">
      <formula>LEFT(E4,LEN("A"))="A"</formula>
    </cfRule>
    <cfRule type="cellIs" dxfId="39" priority="182" operator="equal">
      <formula>"O"</formula>
    </cfRule>
    <cfRule type="beginsWith" dxfId="38" priority="183" operator="beginsWith" text="gdt">
      <formula>LEFT(E4,LEN("gdt"))="gdt"</formula>
    </cfRule>
    <cfRule type="containsText" dxfId="37" priority="184" operator="containsText" text="Y">
      <formula>NOT(ISERROR(SEARCH("Y",E4)))</formula>
    </cfRule>
    <cfRule type="beginsWith" dxfId="36" priority="185" operator="beginsWith" text="KS">
      <formula>LEFT(E4,LEN("KS"))="KS"</formula>
    </cfRule>
    <cfRule type="endsWith" dxfId="35" priority="186" operator="endsWith" text="K">
      <formula>RIGHT(E4,LEN("K"))="K"</formula>
    </cfRule>
    <cfRule type="containsBlanks" dxfId="34" priority="187" stopIfTrue="1">
      <formula>LEN(TRIM(E4))=0</formula>
    </cfRule>
    <cfRule type="cellIs" dxfId="33" priority="188" operator="equal">
      <formula>"O"</formula>
    </cfRule>
    <cfRule type="beginsWith" dxfId="32" priority="189" operator="beginsWith" text="gdt">
      <formula>LEFT(E4,LEN("gdt"))="gdt"</formula>
    </cfRule>
    <cfRule type="containsText" dxfId="31" priority="190" operator="containsText" text="Y">
      <formula>NOT(ISERROR(SEARCH("Y",E4)))</formula>
    </cfRule>
    <cfRule type="beginsWith" dxfId="30" priority="191" stopIfTrue="1" operator="beginsWith" text="A">
      <formula>LEFT(E4,LEN("A"))="A"</formula>
    </cfRule>
    <cfRule type="cellIs" dxfId="29" priority="192" operator="equal">
      <formula>"O"</formula>
    </cfRule>
    <cfRule type="beginsWith" dxfId="28" priority="193" operator="beginsWith" text="gdt">
      <formula>LEFT(E4,LEN("gdt"))="gdt"</formula>
    </cfRule>
    <cfRule type="containsText" dxfId="27" priority="194" operator="containsText" text="Y">
      <formula>NOT(ISERROR(SEARCH("Y",E4)))</formula>
    </cfRule>
    <cfRule type="beginsWith" dxfId="26" priority="195" operator="beginsWith" text="KS">
      <formula>LEFT(E4,LEN("KS"))="KS"</formula>
    </cfRule>
    <cfRule type="endsWith" dxfId="25" priority="196" operator="endsWith" text="K">
      <formula>RIGHT(E4,LEN("K"))="K"</formula>
    </cfRule>
    <cfRule type="containsText" dxfId="24" priority="110" operator="containsText" text="Y">
      <formula>NOT(ISERROR(SEARCH("Y",E4)))</formula>
    </cfRule>
    <cfRule type="beginsWith" dxfId="23" priority="109" operator="beginsWith" text="gdt">
      <formula>LEFT(E4,LEN("gdt"))="gdt"</formula>
    </cfRule>
    <cfRule type="cellIs" dxfId="22" priority="108" operator="equal">
      <formula>"O"</formula>
    </cfRule>
    <cfRule type="containsBlanks" dxfId="21" priority="107" stopIfTrue="1">
      <formula>LEN(TRIM(E4))=0</formula>
    </cfRule>
    <cfRule type="endsWith" dxfId="20" priority="106" operator="endsWith" text="K">
      <formula>RIGHT(E4,LEN("K"))="K"</formula>
    </cfRule>
    <cfRule type="beginsWith" dxfId="19" priority="105" operator="beginsWith" text="KS">
      <formula>LEFT(E4,LEN("KS"))="KS"</formula>
    </cfRule>
    <cfRule type="containsText" dxfId="18" priority="104" operator="containsText" text="Y">
      <formula>NOT(ISERROR(SEARCH("Y",E4)))</formula>
    </cfRule>
    <cfRule type="beginsWith" dxfId="17" priority="103" operator="beginsWith" text="gdt">
      <formula>LEFT(E4,LEN("gdt"))="gdt"</formula>
    </cfRule>
    <cfRule type="cellIs" dxfId="16" priority="102" operator="equal">
      <formula>"O"</formula>
    </cfRule>
    <cfRule type="beginsWith" dxfId="15" priority="101" stopIfTrue="1" operator="beginsWith" text="A">
      <formula>LEFT(E4,LEN("A"))="A"</formula>
    </cfRule>
    <cfRule type="beginsWith" dxfId="14" priority="112" operator="beginsWith" text="KS">
      <formula>LEFT(E4,LEN("KS"))="KS"</formula>
    </cfRule>
  </conditionalFormatting>
  <conditionalFormatting sqref="E33:G34">
    <cfRule type="beginsWith" dxfId="13" priority="208" stopIfTrue="1" operator="beginsWith" text="A">
      <formula>LEFT(E33,LEN("A"))="A"</formula>
    </cfRule>
    <cfRule type="cellIs" dxfId="12" priority="209" operator="equal">
      <formula>"O"</formula>
    </cfRule>
    <cfRule type="beginsWith" dxfId="11" priority="210" operator="beginsWith" text="gdt">
      <formula>LEFT(E33,LEN("gdt"))="gdt"</formula>
    </cfRule>
    <cfRule type="containsText" dxfId="10" priority="211" operator="containsText" text="Y">
      <formula>NOT(ISERROR(SEARCH("Y",E33)))</formula>
    </cfRule>
    <cfRule type="beginsWith" dxfId="9" priority="212" operator="beginsWith" text="KS">
      <formula>LEFT(E33,LEN("KS"))="KS"</formula>
    </cfRule>
    <cfRule type="endsWith" dxfId="8" priority="213" operator="endsWith" text="K">
      <formula>RIGHT(E33,LEN("K"))="K"</formula>
    </cfRule>
    <cfRule type="containsBlanks" dxfId="7" priority="214" stopIfTrue="1">
      <formula>LEN(TRIM(E33))=0</formula>
    </cfRule>
    <cfRule type="cellIs" dxfId="6" priority="215" operator="equal">
      <formula>"O"</formula>
    </cfRule>
    <cfRule type="beginsWith" dxfId="5" priority="216" operator="beginsWith" text="gdt">
      <formula>LEFT(E33,LEN("gdt"))="gdt"</formula>
    </cfRule>
    <cfRule type="containsText" dxfId="4" priority="217" operator="containsText" text="Y">
      <formula>NOT(ISERROR(SEARCH("Y",E33)))</formula>
    </cfRule>
    <cfRule type="beginsWith" dxfId="3" priority="218" stopIfTrue="1" operator="beginsWith" text="A">
      <formula>LEFT(E33,LEN("A"))="A"</formula>
    </cfRule>
    <cfRule type="containsText" dxfId="2" priority="219" operator="containsText" text="O2">
      <formula>NOT(ISERROR(SEARCH("O2",E33)))</formula>
    </cfRule>
    <cfRule type="containsText" dxfId="1" priority="220" operator="containsText" text="O1">
      <formula>NOT(ISERROR(SEARCH("O1",E33)))</formula>
    </cfRule>
    <cfRule type="containsText" dxfId="0" priority="221" operator="containsText" text="M">
      <formula>NOT(ISERROR(SEARCH("M",E33)))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 up Report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innes mclean</dc:creator>
  <cp:lastModifiedBy>innes mclean</cp:lastModifiedBy>
  <dcterms:created xsi:type="dcterms:W3CDTF">2026-05-20T07:03:50Z</dcterms:created>
  <dcterms:modified xsi:type="dcterms:W3CDTF">2026-05-20T07:30:40Z</dcterms:modified>
</cp:coreProperties>
</file>